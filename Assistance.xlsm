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Daoui\Desktop\Project 2025\Axa\Coaching\"/>
    </mc:Choice>
  </mc:AlternateContent>
  <xr:revisionPtr revIDLastSave="0" documentId="13_ncr:1_{64C304EE-883E-4CA7-B6A1-4572EC746739}" xr6:coauthVersionLast="47" xr6:coauthVersionMax="47" xr10:uidLastSave="{00000000-0000-0000-0000-000000000000}"/>
  <bookViews>
    <workbookView xWindow="-120" yWindow="-120" windowWidth="24240" windowHeight="13140" activeTab="5" xr2:uid="{00000000-000D-0000-FFFF-FFFF00000000}"/>
  </bookViews>
  <sheets>
    <sheet name="Synthése" sheetId="1" r:id="rId1"/>
    <sheet name="Base" sheetId="2" r:id="rId2"/>
    <sheet name="Categorie" sheetId="3" r:id="rId3"/>
    <sheet name="BD" sheetId="4" r:id="rId4"/>
    <sheet name="Effectifs" sheetId="5" r:id="rId5"/>
    <sheet name="Users" sheetId="6" r:id="rId6"/>
    <sheet name="Recolt" sheetId="7" r:id="rId7"/>
  </sheets>
  <externalReferences>
    <externalReference r:id="rId8"/>
  </externalReferences>
  <definedNames>
    <definedName name="Bris_de_Glaces">Categorie!$K$7:$K$22</definedName>
    <definedName name="Cherch">Base!$L$3:INDEX(Base!$L$3:$L$300,MAX(Base!$K$3:$K$300),0)</definedName>
    <definedName name="Chercher">[1]RH!$AE$2:INDEX([1]RH!$AE$2:$AE$380,MAX([1]RH!$AD$2:$AD$380),0)</definedName>
    <definedName name="Déclaration">Categorie!$E$7:$E$13</definedName>
    <definedName name="Gestion">Categorie!$H$7:$H$26</definedName>
    <definedName name="Missionnement">Categorie!$F$7:$F$12</definedName>
    <definedName name="Outils">Categorie!$J$7:$J$11</definedName>
    <definedName name="Prestataire">Categorie!$G$7:$G$13</definedName>
    <definedName name="Réglement">Categorie!$I$7:$I$17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7" l="1"/>
  <c r="K3" i="7"/>
  <c r="L3" i="7"/>
  <c r="J4" i="7"/>
  <c r="K4" i="7"/>
  <c r="L4" i="7"/>
  <c r="J5" i="7"/>
  <c r="K5" i="7"/>
  <c r="L5" i="7"/>
  <c r="J6" i="7"/>
  <c r="K6" i="7"/>
  <c r="L6" i="7"/>
  <c r="J7" i="7"/>
  <c r="K7" i="7"/>
  <c r="L7" i="7"/>
  <c r="J8" i="7"/>
  <c r="K8" i="7"/>
  <c r="L8" i="7"/>
  <c r="J9" i="7"/>
  <c r="K9" i="7"/>
  <c r="L9" i="7"/>
  <c r="J10" i="7"/>
  <c r="K10" i="7"/>
  <c r="L10" i="7"/>
  <c r="J11" i="7"/>
  <c r="K11" i="7"/>
  <c r="L11" i="7"/>
  <c r="J12" i="7"/>
  <c r="K12" i="7"/>
  <c r="L12" i="7"/>
  <c r="J13" i="7"/>
  <c r="K13" i="7"/>
  <c r="L13" i="7"/>
  <c r="J14" i="7"/>
  <c r="K14" i="7"/>
  <c r="L14" i="7"/>
  <c r="J15" i="7"/>
  <c r="K15" i="7"/>
  <c r="L15" i="7"/>
  <c r="J16" i="7"/>
  <c r="K16" i="7"/>
  <c r="L16" i="7"/>
  <c r="J17" i="7"/>
  <c r="K17" i="7"/>
  <c r="L17" i="7"/>
  <c r="J18" i="7"/>
  <c r="K18" i="7"/>
  <c r="L18" i="7"/>
  <c r="J19" i="7"/>
  <c r="K19" i="7"/>
  <c r="L19" i="7"/>
  <c r="J20" i="7"/>
  <c r="K20" i="7"/>
  <c r="L20" i="7"/>
  <c r="J21" i="7"/>
  <c r="K21" i="7"/>
  <c r="L21" i="7"/>
  <c r="J22" i="7"/>
  <c r="K22" i="7"/>
  <c r="L22" i="7"/>
  <c r="J23" i="7"/>
  <c r="K23" i="7"/>
  <c r="L23" i="7"/>
  <c r="J24" i="7"/>
  <c r="K24" i="7"/>
  <c r="L24" i="7"/>
  <c r="J25" i="7"/>
  <c r="K25" i="7"/>
  <c r="L25" i="7"/>
  <c r="J26" i="7"/>
  <c r="K26" i="7"/>
  <c r="L26" i="7"/>
  <c r="J27" i="7"/>
  <c r="K27" i="7"/>
  <c r="L27" i="7"/>
  <c r="J28" i="7"/>
  <c r="K28" i="7"/>
  <c r="L28" i="7"/>
  <c r="J29" i="7"/>
  <c r="K29" i="7"/>
  <c r="L29" i="7"/>
  <c r="J30" i="7"/>
  <c r="K30" i="7"/>
  <c r="L30" i="7"/>
  <c r="J31" i="7"/>
  <c r="K31" i="7"/>
  <c r="L31" i="7"/>
  <c r="J32" i="7"/>
  <c r="K32" i="7"/>
  <c r="L32" i="7"/>
  <c r="J33" i="7"/>
  <c r="K33" i="7"/>
  <c r="L33" i="7"/>
  <c r="J34" i="7"/>
  <c r="K34" i="7"/>
  <c r="L34" i="7"/>
  <c r="J35" i="7"/>
  <c r="K35" i="7"/>
  <c r="L35" i="7"/>
  <c r="J36" i="7"/>
  <c r="K36" i="7"/>
  <c r="L36" i="7"/>
  <c r="J37" i="7"/>
  <c r="K37" i="7"/>
  <c r="L37" i="7"/>
  <c r="J38" i="7"/>
  <c r="K38" i="7"/>
  <c r="L38" i="7"/>
  <c r="J39" i="7"/>
  <c r="K39" i="7"/>
  <c r="L39" i="7"/>
  <c r="J40" i="7"/>
  <c r="K40" i="7"/>
  <c r="L40" i="7"/>
  <c r="J41" i="7"/>
  <c r="K41" i="7"/>
  <c r="L41" i="7"/>
  <c r="J42" i="7"/>
  <c r="K42" i="7"/>
  <c r="L42" i="7"/>
  <c r="J43" i="7"/>
  <c r="K43" i="7"/>
  <c r="L43" i="7"/>
  <c r="J44" i="7"/>
  <c r="K44" i="7"/>
  <c r="L44" i="7"/>
  <c r="J45" i="7"/>
  <c r="K45" i="7"/>
  <c r="L45" i="7"/>
  <c r="J46" i="7"/>
  <c r="K46" i="7"/>
  <c r="L46" i="7"/>
  <c r="J47" i="7"/>
  <c r="K47" i="7"/>
  <c r="L47" i="7"/>
  <c r="J48" i="7"/>
  <c r="K48" i="7"/>
  <c r="L48" i="7"/>
  <c r="J49" i="7"/>
  <c r="K49" i="7"/>
  <c r="L49" i="7"/>
  <c r="J50" i="7"/>
  <c r="K50" i="7"/>
  <c r="L50" i="7"/>
  <c r="J51" i="7"/>
  <c r="K51" i="7"/>
  <c r="L51" i="7"/>
  <c r="J52" i="7"/>
  <c r="K52" i="7"/>
  <c r="L52" i="7"/>
  <c r="J53" i="7"/>
  <c r="K53" i="7"/>
  <c r="L53" i="7"/>
  <c r="J54" i="7"/>
  <c r="K54" i="7"/>
  <c r="L54" i="7"/>
  <c r="J55" i="7"/>
  <c r="K55" i="7"/>
  <c r="L55" i="7"/>
  <c r="J56" i="7"/>
  <c r="K56" i="7"/>
  <c r="L56" i="7"/>
  <c r="J57" i="7"/>
  <c r="K57" i="7"/>
  <c r="L57" i="7"/>
  <c r="J58" i="7"/>
  <c r="K58" i="7"/>
  <c r="L58" i="7"/>
  <c r="J59" i="7"/>
  <c r="K59" i="7"/>
  <c r="L59" i="7"/>
  <c r="J60" i="7"/>
  <c r="K60" i="7"/>
  <c r="L60" i="7"/>
  <c r="J61" i="7"/>
  <c r="K61" i="7"/>
  <c r="L61" i="7"/>
  <c r="J62" i="7"/>
  <c r="K62" i="7"/>
  <c r="L62" i="7"/>
  <c r="J63" i="7"/>
  <c r="K63" i="7"/>
  <c r="L63" i="7"/>
  <c r="J64" i="7"/>
  <c r="K64" i="7"/>
  <c r="L64" i="7"/>
  <c r="J65" i="7"/>
  <c r="K65" i="7"/>
  <c r="L65" i="7"/>
  <c r="J66" i="7"/>
  <c r="K66" i="7"/>
  <c r="L66" i="7"/>
  <c r="J67" i="7"/>
  <c r="K67" i="7"/>
  <c r="L67" i="7"/>
  <c r="J68" i="7"/>
  <c r="K68" i="7"/>
  <c r="L68" i="7"/>
  <c r="J69" i="7"/>
  <c r="K69" i="7"/>
  <c r="L69" i="7"/>
  <c r="J70" i="7"/>
  <c r="K70" i="7"/>
  <c r="L70" i="7"/>
  <c r="J71" i="7"/>
  <c r="K71" i="7"/>
  <c r="L71" i="7"/>
  <c r="J72" i="7"/>
  <c r="K72" i="7"/>
  <c r="L72" i="7"/>
  <c r="J73" i="7"/>
  <c r="K73" i="7"/>
  <c r="L73" i="7"/>
  <c r="J74" i="7"/>
  <c r="K74" i="7"/>
  <c r="L74" i="7"/>
  <c r="J75" i="7"/>
  <c r="K75" i="7"/>
  <c r="L75" i="7"/>
  <c r="J76" i="7"/>
  <c r="K76" i="7"/>
  <c r="L76" i="7"/>
  <c r="J77" i="7"/>
  <c r="K77" i="7"/>
  <c r="L77" i="7"/>
  <c r="J78" i="7"/>
  <c r="K78" i="7"/>
  <c r="L78" i="7"/>
  <c r="J79" i="7"/>
  <c r="K79" i="7"/>
  <c r="L79" i="7"/>
  <c r="J80" i="7"/>
  <c r="K80" i="7"/>
  <c r="L80" i="7"/>
  <c r="J81" i="7"/>
  <c r="K81" i="7"/>
  <c r="L81" i="7"/>
  <c r="J82" i="7"/>
  <c r="K82" i="7"/>
  <c r="L82" i="7"/>
  <c r="J83" i="7"/>
  <c r="K83" i="7"/>
  <c r="L83" i="7"/>
  <c r="J84" i="7"/>
  <c r="K84" i="7"/>
  <c r="L84" i="7"/>
  <c r="J85" i="7"/>
  <c r="K85" i="7"/>
  <c r="L85" i="7"/>
  <c r="J86" i="7"/>
  <c r="K86" i="7"/>
  <c r="L86" i="7"/>
  <c r="J87" i="7"/>
  <c r="K87" i="7"/>
  <c r="L87" i="7"/>
  <c r="J88" i="7"/>
  <c r="K88" i="7"/>
  <c r="L88" i="7"/>
  <c r="J89" i="7"/>
  <c r="K89" i="7"/>
  <c r="L89" i="7"/>
  <c r="J90" i="7"/>
  <c r="K90" i="7"/>
  <c r="L90" i="7"/>
  <c r="J91" i="7"/>
  <c r="K91" i="7"/>
  <c r="L91" i="7"/>
  <c r="J92" i="7"/>
  <c r="K92" i="7"/>
  <c r="L92" i="7"/>
  <c r="J93" i="7"/>
  <c r="K93" i="7"/>
  <c r="L93" i="7"/>
  <c r="J94" i="7"/>
  <c r="K94" i="7"/>
  <c r="L94" i="7"/>
  <c r="J95" i="7"/>
  <c r="K95" i="7"/>
  <c r="L95" i="7"/>
  <c r="J96" i="7"/>
  <c r="K96" i="7"/>
  <c r="L96" i="7"/>
  <c r="J97" i="7"/>
  <c r="K97" i="7"/>
  <c r="L97" i="7"/>
  <c r="J98" i="7"/>
  <c r="K98" i="7"/>
  <c r="L98" i="7"/>
  <c r="J99" i="7"/>
  <c r="K99" i="7"/>
  <c r="L99" i="7"/>
  <c r="J100" i="7"/>
  <c r="K100" i="7"/>
  <c r="L100" i="7"/>
  <c r="J101" i="7"/>
  <c r="K101" i="7"/>
  <c r="L101" i="7"/>
  <c r="J102" i="7"/>
  <c r="K102" i="7"/>
  <c r="L102" i="7"/>
  <c r="J103" i="7"/>
  <c r="K103" i="7"/>
  <c r="L103" i="7"/>
  <c r="J104" i="7"/>
  <c r="K104" i="7"/>
  <c r="L104" i="7"/>
  <c r="J105" i="7"/>
  <c r="K105" i="7"/>
  <c r="L105" i="7"/>
  <c r="J106" i="7"/>
  <c r="K106" i="7"/>
  <c r="L106" i="7"/>
  <c r="J107" i="7"/>
  <c r="K107" i="7"/>
  <c r="L107" i="7"/>
  <c r="J108" i="7"/>
  <c r="K108" i="7"/>
  <c r="L108" i="7"/>
  <c r="J109" i="7"/>
  <c r="K109" i="7"/>
  <c r="L109" i="7"/>
  <c r="J110" i="7"/>
  <c r="K110" i="7"/>
  <c r="L110" i="7"/>
  <c r="J111" i="7"/>
  <c r="K111" i="7"/>
  <c r="L111" i="7"/>
  <c r="J112" i="7"/>
  <c r="K112" i="7"/>
  <c r="L112" i="7"/>
  <c r="J113" i="7"/>
  <c r="K113" i="7"/>
  <c r="L113" i="7"/>
  <c r="J114" i="7"/>
  <c r="K114" i="7"/>
  <c r="L114" i="7"/>
  <c r="J115" i="7"/>
  <c r="K115" i="7"/>
  <c r="L115" i="7"/>
  <c r="J116" i="7"/>
  <c r="K116" i="7"/>
  <c r="L116" i="7"/>
  <c r="J117" i="7"/>
  <c r="K117" i="7"/>
  <c r="L117" i="7"/>
  <c r="J118" i="7"/>
  <c r="K118" i="7"/>
  <c r="L118" i="7"/>
  <c r="J119" i="7"/>
  <c r="K119" i="7"/>
  <c r="L119" i="7"/>
  <c r="J120" i="7"/>
  <c r="K120" i="7"/>
  <c r="L120" i="7"/>
  <c r="J121" i="7"/>
  <c r="K121" i="7"/>
  <c r="L121" i="7"/>
  <c r="J122" i="7"/>
  <c r="K122" i="7"/>
  <c r="L122" i="7"/>
  <c r="J123" i="7"/>
  <c r="K123" i="7"/>
  <c r="L123" i="7"/>
  <c r="J124" i="7"/>
  <c r="K124" i="7"/>
  <c r="L124" i="7"/>
  <c r="J125" i="7"/>
  <c r="K125" i="7"/>
  <c r="L125" i="7"/>
  <c r="J126" i="7"/>
  <c r="K126" i="7"/>
  <c r="L126" i="7"/>
  <c r="J127" i="7"/>
  <c r="K127" i="7"/>
  <c r="L127" i="7"/>
  <c r="J128" i="7"/>
  <c r="K128" i="7"/>
  <c r="L128" i="7"/>
  <c r="J129" i="7"/>
  <c r="K129" i="7"/>
  <c r="L129" i="7"/>
  <c r="J130" i="7"/>
  <c r="K130" i="7"/>
  <c r="L130" i="7"/>
  <c r="J131" i="7"/>
  <c r="K131" i="7"/>
  <c r="L131" i="7"/>
  <c r="J132" i="7"/>
  <c r="K132" i="7"/>
  <c r="L132" i="7"/>
  <c r="J133" i="7"/>
  <c r="K133" i="7"/>
  <c r="L133" i="7"/>
  <c r="J134" i="7"/>
  <c r="K134" i="7"/>
  <c r="L134" i="7"/>
  <c r="J135" i="7"/>
  <c r="K135" i="7"/>
  <c r="L135" i="7"/>
  <c r="J136" i="7"/>
  <c r="K136" i="7"/>
  <c r="L136" i="7"/>
  <c r="J137" i="7"/>
  <c r="K137" i="7"/>
  <c r="L137" i="7"/>
  <c r="J138" i="7"/>
  <c r="K138" i="7"/>
  <c r="L138" i="7"/>
  <c r="J139" i="7"/>
  <c r="K139" i="7"/>
  <c r="L139" i="7"/>
  <c r="J140" i="7"/>
  <c r="K140" i="7"/>
  <c r="L140" i="7"/>
  <c r="J141" i="7"/>
  <c r="K141" i="7"/>
  <c r="L141" i="7"/>
  <c r="J142" i="7"/>
  <c r="K142" i="7"/>
  <c r="L142" i="7"/>
  <c r="J143" i="7"/>
  <c r="K143" i="7"/>
  <c r="L143" i="7"/>
  <c r="J144" i="7"/>
  <c r="K144" i="7"/>
  <c r="L144" i="7"/>
  <c r="J145" i="7"/>
  <c r="K145" i="7"/>
  <c r="L145" i="7"/>
  <c r="J146" i="7"/>
  <c r="K146" i="7"/>
  <c r="L146" i="7"/>
  <c r="J147" i="7"/>
  <c r="K147" i="7"/>
  <c r="L147" i="7"/>
  <c r="J148" i="7"/>
  <c r="K148" i="7"/>
  <c r="L148" i="7"/>
  <c r="J149" i="7"/>
  <c r="K149" i="7"/>
  <c r="L149" i="7"/>
  <c r="J150" i="7"/>
  <c r="K150" i="7"/>
  <c r="L150" i="7"/>
  <c r="J151" i="7"/>
  <c r="K151" i="7"/>
  <c r="L151" i="7"/>
  <c r="J152" i="7"/>
  <c r="K152" i="7"/>
  <c r="L152" i="7"/>
  <c r="J153" i="7"/>
  <c r="K153" i="7"/>
  <c r="L153" i="7"/>
  <c r="J154" i="7"/>
  <c r="K154" i="7"/>
  <c r="L154" i="7"/>
  <c r="J155" i="7"/>
  <c r="K155" i="7"/>
  <c r="L155" i="7"/>
  <c r="J156" i="7"/>
  <c r="K156" i="7"/>
  <c r="L156" i="7"/>
  <c r="J157" i="7"/>
  <c r="K157" i="7"/>
  <c r="L157" i="7"/>
  <c r="J158" i="7"/>
  <c r="K158" i="7"/>
  <c r="L158" i="7"/>
  <c r="J159" i="7"/>
  <c r="K159" i="7"/>
  <c r="L159" i="7"/>
  <c r="J160" i="7"/>
  <c r="K160" i="7"/>
  <c r="L160" i="7"/>
  <c r="J161" i="7"/>
  <c r="K161" i="7"/>
  <c r="L161" i="7"/>
  <c r="J162" i="7"/>
  <c r="K162" i="7"/>
  <c r="L162" i="7"/>
  <c r="J163" i="7"/>
  <c r="K163" i="7"/>
  <c r="L163" i="7"/>
  <c r="J164" i="7"/>
  <c r="K164" i="7"/>
  <c r="L164" i="7"/>
  <c r="J165" i="7"/>
  <c r="K165" i="7"/>
  <c r="L165" i="7"/>
  <c r="J166" i="7"/>
  <c r="K166" i="7"/>
  <c r="L166" i="7"/>
  <c r="J167" i="7"/>
  <c r="K167" i="7"/>
  <c r="L167" i="7"/>
  <c r="J168" i="7"/>
  <c r="K168" i="7"/>
  <c r="L168" i="7"/>
  <c r="J169" i="7"/>
  <c r="K169" i="7"/>
  <c r="L169" i="7"/>
  <c r="J170" i="7"/>
  <c r="K170" i="7"/>
  <c r="L170" i="7"/>
  <c r="J171" i="7"/>
  <c r="K171" i="7"/>
  <c r="L171" i="7"/>
  <c r="J172" i="7"/>
  <c r="K172" i="7"/>
  <c r="L172" i="7"/>
  <c r="J173" i="7"/>
  <c r="K173" i="7"/>
  <c r="L173" i="7"/>
  <c r="J174" i="7"/>
  <c r="K174" i="7"/>
  <c r="L174" i="7"/>
  <c r="J175" i="7"/>
  <c r="K175" i="7"/>
  <c r="L175" i="7"/>
  <c r="J176" i="7"/>
  <c r="K176" i="7"/>
  <c r="L176" i="7"/>
  <c r="J177" i="7"/>
  <c r="K177" i="7"/>
  <c r="L177" i="7"/>
  <c r="J178" i="7"/>
  <c r="K178" i="7"/>
  <c r="L178" i="7"/>
  <c r="J179" i="7"/>
  <c r="K179" i="7"/>
  <c r="L179" i="7"/>
  <c r="J180" i="7"/>
  <c r="K180" i="7"/>
  <c r="L180" i="7"/>
  <c r="J181" i="7"/>
  <c r="K181" i="7"/>
  <c r="L181" i="7"/>
  <c r="J182" i="7"/>
  <c r="K182" i="7"/>
  <c r="L182" i="7"/>
  <c r="J183" i="7"/>
  <c r="K183" i="7"/>
  <c r="L183" i="7"/>
  <c r="J184" i="7"/>
  <c r="K184" i="7"/>
  <c r="L184" i="7"/>
  <c r="J185" i="7"/>
  <c r="K185" i="7"/>
  <c r="L185" i="7"/>
  <c r="J186" i="7"/>
  <c r="K186" i="7"/>
  <c r="L186" i="7"/>
  <c r="J187" i="7"/>
  <c r="K187" i="7"/>
  <c r="L187" i="7"/>
  <c r="J188" i="7"/>
  <c r="K188" i="7"/>
  <c r="L188" i="7"/>
  <c r="J189" i="7"/>
  <c r="K189" i="7"/>
  <c r="L189" i="7"/>
  <c r="J190" i="7"/>
  <c r="K190" i="7"/>
  <c r="L190" i="7"/>
  <c r="J191" i="7"/>
  <c r="K191" i="7"/>
  <c r="L191" i="7"/>
  <c r="J192" i="7"/>
  <c r="K192" i="7"/>
  <c r="L192" i="7"/>
  <c r="J193" i="7"/>
  <c r="K193" i="7"/>
  <c r="L193" i="7"/>
  <c r="J194" i="7"/>
  <c r="K194" i="7"/>
  <c r="L194" i="7"/>
  <c r="J195" i="7"/>
  <c r="K195" i="7"/>
  <c r="L195" i="7"/>
  <c r="J196" i="7"/>
  <c r="K196" i="7"/>
  <c r="L196" i="7"/>
  <c r="J197" i="7"/>
  <c r="K197" i="7"/>
  <c r="L197" i="7"/>
  <c r="J198" i="7"/>
  <c r="K198" i="7"/>
  <c r="L198" i="7"/>
  <c r="J199" i="7"/>
  <c r="K199" i="7"/>
  <c r="L199" i="7"/>
  <c r="J200" i="7"/>
  <c r="K200" i="7"/>
  <c r="L200" i="7"/>
  <c r="J201" i="7"/>
  <c r="K201" i="7"/>
  <c r="L201" i="7"/>
  <c r="J202" i="7"/>
  <c r="K202" i="7"/>
  <c r="L202" i="7"/>
  <c r="J203" i="7"/>
  <c r="K203" i="7"/>
  <c r="L203" i="7"/>
  <c r="J204" i="7"/>
  <c r="K204" i="7"/>
  <c r="L204" i="7"/>
  <c r="J205" i="7"/>
  <c r="K205" i="7"/>
  <c r="L205" i="7"/>
  <c r="J206" i="7"/>
  <c r="K206" i="7"/>
  <c r="L206" i="7"/>
  <c r="J207" i="7"/>
  <c r="K207" i="7"/>
  <c r="L207" i="7"/>
  <c r="J208" i="7"/>
  <c r="K208" i="7"/>
  <c r="L208" i="7"/>
  <c r="J209" i="7"/>
  <c r="K209" i="7"/>
  <c r="L209" i="7"/>
  <c r="J210" i="7"/>
  <c r="K210" i="7"/>
  <c r="L210" i="7"/>
  <c r="J211" i="7"/>
  <c r="K211" i="7"/>
  <c r="L211" i="7"/>
  <c r="J212" i="7"/>
  <c r="K212" i="7"/>
  <c r="L212" i="7"/>
  <c r="J213" i="7"/>
  <c r="K213" i="7"/>
  <c r="L213" i="7"/>
  <c r="J214" i="7"/>
  <c r="K214" i="7"/>
  <c r="L214" i="7"/>
  <c r="J215" i="7"/>
  <c r="K215" i="7"/>
  <c r="L215" i="7"/>
  <c r="J216" i="7"/>
  <c r="K216" i="7"/>
  <c r="L216" i="7"/>
  <c r="J217" i="7"/>
  <c r="K217" i="7"/>
  <c r="L217" i="7"/>
  <c r="J218" i="7"/>
  <c r="K218" i="7"/>
  <c r="L218" i="7"/>
  <c r="J219" i="7"/>
  <c r="K219" i="7"/>
  <c r="L219" i="7"/>
  <c r="J220" i="7"/>
  <c r="K220" i="7"/>
  <c r="L220" i="7"/>
  <c r="J221" i="7"/>
  <c r="K221" i="7"/>
  <c r="L221" i="7"/>
  <c r="J222" i="7"/>
  <c r="K222" i="7"/>
  <c r="L222" i="7"/>
  <c r="J223" i="7"/>
  <c r="K223" i="7"/>
  <c r="L223" i="7"/>
  <c r="J224" i="7"/>
  <c r="K224" i="7"/>
  <c r="L224" i="7"/>
  <c r="J225" i="7"/>
  <c r="K225" i="7"/>
  <c r="L225" i="7"/>
  <c r="J226" i="7"/>
  <c r="K226" i="7"/>
  <c r="L226" i="7"/>
  <c r="J227" i="7"/>
  <c r="K227" i="7"/>
  <c r="L227" i="7"/>
  <c r="J228" i="7"/>
  <c r="K228" i="7"/>
  <c r="L228" i="7"/>
  <c r="J229" i="7"/>
  <c r="K229" i="7"/>
  <c r="L229" i="7"/>
  <c r="J230" i="7"/>
  <c r="K230" i="7"/>
  <c r="L230" i="7"/>
  <c r="J231" i="7"/>
  <c r="K231" i="7"/>
  <c r="L231" i="7"/>
  <c r="J232" i="7"/>
  <c r="K232" i="7"/>
  <c r="L232" i="7"/>
  <c r="J233" i="7"/>
  <c r="K233" i="7"/>
  <c r="L233" i="7"/>
  <c r="J234" i="7"/>
  <c r="K234" i="7"/>
  <c r="L234" i="7"/>
  <c r="J235" i="7"/>
  <c r="K235" i="7"/>
  <c r="L235" i="7"/>
  <c r="J236" i="7"/>
  <c r="K236" i="7"/>
  <c r="L236" i="7"/>
  <c r="J237" i="7"/>
  <c r="K237" i="7"/>
  <c r="L237" i="7"/>
  <c r="J238" i="7"/>
  <c r="K238" i="7"/>
  <c r="L238" i="7"/>
  <c r="J239" i="7"/>
  <c r="K239" i="7"/>
  <c r="L239" i="7"/>
  <c r="J240" i="7"/>
  <c r="K240" i="7"/>
  <c r="L240" i="7"/>
  <c r="J241" i="7"/>
  <c r="K241" i="7"/>
  <c r="L241" i="7"/>
  <c r="J242" i="7"/>
  <c r="K242" i="7"/>
  <c r="L242" i="7"/>
  <c r="J243" i="7"/>
  <c r="K243" i="7"/>
  <c r="L243" i="7"/>
  <c r="J244" i="7"/>
  <c r="K244" i="7"/>
  <c r="L244" i="7"/>
  <c r="J245" i="7"/>
  <c r="K245" i="7"/>
  <c r="L245" i="7"/>
  <c r="J246" i="7"/>
  <c r="K246" i="7"/>
  <c r="L246" i="7"/>
  <c r="J247" i="7"/>
  <c r="K247" i="7"/>
  <c r="L247" i="7"/>
  <c r="J248" i="7"/>
  <c r="K248" i="7"/>
  <c r="L248" i="7"/>
  <c r="J249" i="7"/>
  <c r="K249" i="7"/>
  <c r="L249" i="7"/>
  <c r="J250" i="7"/>
  <c r="K250" i="7"/>
  <c r="L250" i="7"/>
  <c r="J251" i="7"/>
  <c r="K251" i="7"/>
  <c r="L251" i="7"/>
  <c r="J252" i="7"/>
  <c r="K252" i="7"/>
  <c r="L252" i="7"/>
  <c r="J253" i="7"/>
  <c r="K253" i="7"/>
  <c r="L253" i="7"/>
  <c r="J254" i="7"/>
  <c r="K254" i="7"/>
  <c r="L254" i="7"/>
  <c r="J255" i="7"/>
  <c r="K255" i="7"/>
  <c r="L255" i="7"/>
  <c r="J256" i="7"/>
  <c r="K256" i="7"/>
  <c r="L256" i="7"/>
  <c r="J257" i="7"/>
  <c r="K257" i="7"/>
  <c r="L257" i="7"/>
  <c r="J258" i="7"/>
  <c r="K258" i="7"/>
  <c r="L258" i="7"/>
  <c r="J259" i="7"/>
  <c r="K259" i="7"/>
  <c r="L259" i="7"/>
  <c r="J260" i="7"/>
  <c r="K260" i="7"/>
  <c r="L260" i="7"/>
  <c r="J261" i="7"/>
  <c r="K261" i="7"/>
  <c r="L261" i="7"/>
  <c r="J262" i="7"/>
  <c r="K262" i="7"/>
  <c r="L262" i="7"/>
  <c r="J263" i="7"/>
  <c r="K263" i="7"/>
  <c r="L263" i="7"/>
  <c r="J264" i="7"/>
  <c r="K264" i="7"/>
  <c r="L264" i="7"/>
  <c r="J265" i="7"/>
  <c r="K265" i="7"/>
  <c r="L265" i="7"/>
  <c r="J266" i="7"/>
  <c r="K266" i="7"/>
  <c r="L266" i="7"/>
  <c r="J267" i="7"/>
  <c r="K267" i="7"/>
  <c r="L267" i="7"/>
  <c r="J268" i="7"/>
  <c r="K268" i="7"/>
  <c r="L268" i="7"/>
  <c r="J269" i="7"/>
  <c r="K269" i="7"/>
  <c r="L269" i="7"/>
  <c r="J270" i="7"/>
  <c r="K270" i="7"/>
  <c r="L270" i="7"/>
  <c r="J271" i="7"/>
  <c r="K271" i="7"/>
  <c r="L271" i="7"/>
  <c r="J272" i="7"/>
  <c r="K272" i="7"/>
  <c r="L272" i="7"/>
  <c r="J273" i="7"/>
  <c r="K273" i="7"/>
  <c r="L273" i="7"/>
  <c r="J274" i="7"/>
  <c r="K274" i="7"/>
  <c r="L274" i="7"/>
  <c r="J275" i="7"/>
  <c r="K275" i="7"/>
  <c r="L275" i="7"/>
  <c r="J276" i="7"/>
  <c r="K276" i="7"/>
  <c r="L276" i="7"/>
  <c r="J277" i="7"/>
  <c r="K277" i="7"/>
  <c r="L277" i="7"/>
  <c r="J278" i="7"/>
  <c r="K278" i="7"/>
  <c r="L278" i="7"/>
  <c r="J279" i="7"/>
  <c r="K279" i="7"/>
  <c r="L279" i="7"/>
  <c r="J280" i="7"/>
  <c r="K280" i="7"/>
  <c r="L280" i="7"/>
  <c r="J281" i="7"/>
  <c r="K281" i="7"/>
  <c r="L281" i="7"/>
  <c r="J282" i="7"/>
  <c r="K282" i="7"/>
  <c r="L282" i="7"/>
  <c r="J283" i="7"/>
  <c r="K283" i="7"/>
  <c r="L283" i="7"/>
  <c r="J284" i="7"/>
  <c r="K284" i="7"/>
  <c r="L284" i="7"/>
  <c r="J285" i="7"/>
  <c r="K285" i="7"/>
  <c r="L285" i="7"/>
  <c r="J286" i="7"/>
  <c r="K286" i="7"/>
  <c r="L286" i="7"/>
  <c r="J287" i="7"/>
  <c r="K287" i="7"/>
  <c r="L287" i="7"/>
  <c r="J288" i="7"/>
  <c r="K288" i="7"/>
  <c r="L288" i="7"/>
  <c r="J289" i="7"/>
  <c r="K289" i="7"/>
  <c r="L289" i="7"/>
  <c r="J290" i="7"/>
  <c r="K290" i="7"/>
  <c r="L290" i="7"/>
  <c r="J291" i="7"/>
  <c r="K291" i="7"/>
  <c r="L291" i="7"/>
  <c r="J292" i="7"/>
  <c r="K292" i="7"/>
  <c r="L292" i="7"/>
  <c r="J293" i="7"/>
  <c r="K293" i="7"/>
  <c r="L293" i="7"/>
  <c r="J294" i="7"/>
  <c r="K294" i="7"/>
  <c r="L294" i="7"/>
  <c r="J295" i="7"/>
  <c r="K295" i="7"/>
  <c r="L295" i="7"/>
  <c r="J296" i="7"/>
  <c r="K296" i="7"/>
  <c r="L296" i="7"/>
  <c r="J297" i="7"/>
  <c r="K297" i="7"/>
  <c r="L297" i="7"/>
  <c r="J298" i="7"/>
  <c r="K298" i="7"/>
  <c r="L298" i="7"/>
  <c r="J299" i="7"/>
  <c r="K299" i="7"/>
  <c r="L299" i="7"/>
  <c r="J300" i="7"/>
  <c r="K300" i="7"/>
  <c r="L300" i="7"/>
  <c r="J301" i="7"/>
  <c r="K301" i="7"/>
  <c r="L301" i="7"/>
  <c r="J302" i="7"/>
  <c r="K302" i="7"/>
  <c r="L302" i="7"/>
  <c r="J303" i="7"/>
  <c r="K303" i="7"/>
  <c r="L303" i="7"/>
  <c r="J304" i="7"/>
  <c r="K304" i="7"/>
  <c r="L304" i="7"/>
  <c r="J305" i="7"/>
  <c r="K305" i="7"/>
  <c r="L305" i="7"/>
  <c r="J306" i="7"/>
  <c r="K306" i="7"/>
  <c r="L306" i="7"/>
  <c r="J307" i="7"/>
  <c r="K307" i="7"/>
  <c r="L307" i="7"/>
  <c r="J308" i="7"/>
  <c r="K308" i="7"/>
  <c r="L308" i="7"/>
  <c r="J309" i="7"/>
  <c r="K309" i="7"/>
  <c r="L309" i="7"/>
  <c r="J310" i="7"/>
  <c r="K310" i="7"/>
  <c r="L310" i="7"/>
  <c r="J311" i="7"/>
  <c r="K311" i="7"/>
  <c r="L311" i="7"/>
  <c r="J312" i="7"/>
  <c r="K312" i="7"/>
  <c r="L312" i="7"/>
  <c r="J313" i="7"/>
  <c r="K313" i="7"/>
  <c r="L313" i="7"/>
  <c r="J314" i="7"/>
  <c r="K314" i="7"/>
  <c r="L314" i="7"/>
  <c r="J315" i="7"/>
  <c r="K315" i="7"/>
  <c r="L315" i="7"/>
  <c r="J316" i="7"/>
  <c r="K316" i="7"/>
  <c r="L316" i="7"/>
  <c r="J317" i="7"/>
  <c r="K317" i="7"/>
  <c r="L317" i="7"/>
  <c r="J318" i="7"/>
  <c r="K318" i="7"/>
  <c r="L318" i="7"/>
  <c r="J319" i="7"/>
  <c r="K319" i="7"/>
  <c r="L319" i="7"/>
  <c r="J320" i="7"/>
  <c r="K320" i="7"/>
  <c r="L320" i="7"/>
  <c r="J321" i="7"/>
  <c r="K321" i="7"/>
  <c r="L321" i="7"/>
  <c r="J322" i="7"/>
  <c r="K322" i="7"/>
  <c r="L322" i="7"/>
  <c r="J323" i="7"/>
  <c r="K323" i="7"/>
  <c r="L323" i="7"/>
  <c r="J324" i="7"/>
  <c r="K324" i="7"/>
  <c r="L324" i="7"/>
  <c r="J325" i="7"/>
  <c r="K325" i="7"/>
  <c r="L325" i="7"/>
  <c r="J326" i="7"/>
  <c r="K326" i="7"/>
  <c r="L326" i="7"/>
  <c r="J327" i="7"/>
  <c r="K327" i="7"/>
  <c r="L327" i="7"/>
  <c r="J328" i="7"/>
  <c r="K328" i="7"/>
  <c r="L328" i="7"/>
  <c r="J329" i="7"/>
  <c r="K329" i="7"/>
  <c r="L329" i="7"/>
  <c r="J330" i="7"/>
  <c r="K330" i="7"/>
  <c r="L330" i="7"/>
  <c r="J331" i="7"/>
  <c r="K331" i="7"/>
  <c r="L331" i="7"/>
  <c r="J332" i="7"/>
  <c r="K332" i="7"/>
  <c r="L332" i="7"/>
  <c r="J333" i="7"/>
  <c r="K333" i="7"/>
  <c r="L333" i="7"/>
  <c r="J334" i="7"/>
  <c r="K334" i="7"/>
  <c r="L334" i="7"/>
  <c r="J335" i="7"/>
  <c r="K335" i="7"/>
  <c r="L335" i="7"/>
  <c r="J336" i="7"/>
  <c r="K336" i="7"/>
  <c r="L336" i="7"/>
  <c r="J337" i="7"/>
  <c r="K337" i="7"/>
  <c r="L337" i="7"/>
  <c r="J338" i="7"/>
  <c r="K338" i="7"/>
  <c r="L338" i="7"/>
  <c r="J339" i="7"/>
  <c r="K339" i="7"/>
  <c r="L339" i="7"/>
  <c r="J340" i="7"/>
  <c r="K340" i="7"/>
  <c r="L340" i="7"/>
  <c r="J341" i="7"/>
  <c r="K341" i="7"/>
  <c r="L341" i="7"/>
  <c r="J342" i="7"/>
  <c r="K342" i="7"/>
  <c r="L342" i="7"/>
  <c r="J343" i="7"/>
  <c r="K343" i="7"/>
  <c r="L343" i="7"/>
  <c r="J344" i="7"/>
  <c r="K344" i="7"/>
  <c r="L344" i="7"/>
  <c r="J345" i="7"/>
  <c r="K345" i="7"/>
  <c r="L345" i="7"/>
  <c r="J346" i="7"/>
  <c r="K346" i="7"/>
  <c r="L346" i="7"/>
  <c r="J347" i="7"/>
  <c r="K347" i="7"/>
  <c r="L347" i="7"/>
  <c r="J348" i="7"/>
  <c r="K348" i="7"/>
  <c r="L348" i="7"/>
  <c r="J349" i="7"/>
  <c r="K349" i="7"/>
  <c r="L349" i="7"/>
  <c r="J350" i="7"/>
  <c r="K350" i="7"/>
  <c r="L350" i="7"/>
  <c r="J351" i="7"/>
  <c r="K351" i="7"/>
  <c r="L351" i="7"/>
  <c r="J352" i="7"/>
  <c r="K352" i="7"/>
  <c r="L352" i="7"/>
  <c r="J353" i="7"/>
  <c r="K353" i="7"/>
  <c r="L353" i="7"/>
  <c r="J354" i="7"/>
  <c r="K354" i="7"/>
  <c r="L354" i="7"/>
  <c r="J355" i="7"/>
  <c r="K355" i="7"/>
  <c r="L355" i="7"/>
  <c r="J356" i="7"/>
  <c r="K356" i="7"/>
  <c r="L356" i="7"/>
  <c r="J357" i="7"/>
  <c r="K357" i="7"/>
  <c r="L357" i="7"/>
  <c r="J358" i="7"/>
  <c r="K358" i="7"/>
  <c r="L358" i="7"/>
  <c r="J359" i="7"/>
  <c r="K359" i="7"/>
  <c r="L359" i="7"/>
  <c r="J360" i="7"/>
  <c r="K360" i="7"/>
  <c r="L360" i="7"/>
  <c r="J361" i="7"/>
  <c r="K361" i="7"/>
  <c r="L361" i="7"/>
  <c r="J362" i="7"/>
  <c r="K362" i="7"/>
  <c r="L362" i="7"/>
  <c r="J363" i="7"/>
  <c r="K363" i="7"/>
  <c r="L363" i="7"/>
  <c r="J364" i="7"/>
  <c r="K364" i="7"/>
  <c r="L364" i="7"/>
  <c r="J365" i="7"/>
  <c r="K365" i="7"/>
  <c r="L365" i="7"/>
  <c r="J366" i="7"/>
  <c r="K366" i="7"/>
  <c r="L366" i="7"/>
  <c r="J367" i="7"/>
  <c r="K367" i="7"/>
  <c r="L367" i="7"/>
  <c r="J368" i="7"/>
  <c r="K368" i="7"/>
  <c r="L368" i="7"/>
  <c r="J369" i="7"/>
  <c r="K369" i="7"/>
  <c r="L369" i="7"/>
  <c r="J370" i="7"/>
  <c r="K370" i="7"/>
  <c r="L370" i="7"/>
  <c r="J371" i="7"/>
  <c r="K371" i="7"/>
  <c r="L371" i="7"/>
  <c r="J372" i="7"/>
  <c r="K372" i="7"/>
  <c r="L372" i="7"/>
  <c r="J373" i="7"/>
  <c r="K373" i="7"/>
  <c r="L373" i="7"/>
  <c r="J374" i="7"/>
  <c r="K374" i="7"/>
  <c r="L374" i="7"/>
  <c r="J375" i="7"/>
  <c r="K375" i="7"/>
  <c r="L375" i="7"/>
  <c r="J376" i="7"/>
  <c r="K376" i="7"/>
  <c r="L376" i="7"/>
  <c r="J377" i="7"/>
  <c r="K377" i="7"/>
  <c r="L377" i="7"/>
  <c r="J378" i="7"/>
  <c r="K378" i="7"/>
  <c r="L378" i="7"/>
  <c r="J379" i="7"/>
  <c r="K379" i="7"/>
  <c r="L379" i="7"/>
  <c r="J380" i="7"/>
  <c r="K380" i="7"/>
  <c r="L380" i="7"/>
  <c r="J381" i="7"/>
  <c r="K381" i="7"/>
  <c r="L381" i="7"/>
  <c r="J382" i="7"/>
  <c r="K382" i="7"/>
  <c r="L382" i="7"/>
  <c r="J383" i="7"/>
  <c r="K383" i="7"/>
  <c r="L383" i="7"/>
  <c r="J384" i="7"/>
  <c r="K384" i="7"/>
  <c r="L384" i="7"/>
  <c r="J385" i="7"/>
  <c r="K385" i="7"/>
  <c r="L385" i="7"/>
  <c r="J386" i="7"/>
  <c r="K386" i="7"/>
  <c r="L386" i="7"/>
  <c r="J387" i="7"/>
  <c r="K387" i="7"/>
  <c r="L387" i="7"/>
  <c r="J388" i="7"/>
  <c r="K388" i="7"/>
  <c r="L388" i="7"/>
  <c r="J389" i="7"/>
  <c r="K389" i="7"/>
  <c r="L389" i="7"/>
  <c r="J390" i="7"/>
  <c r="K390" i="7"/>
  <c r="L390" i="7"/>
  <c r="J391" i="7"/>
  <c r="K391" i="7"/>
  <c r="L391" i="7"/>
  <c r="J392" i="7"/>
  <c r="K392" i="7"/>
  <c r="L392" i="7"/>
  <c r="J393" i="7"/>
  <c r="K393" i="7"/>
  <c r="L393" i="7"/>
  <c r="J394" i="7"/>
  <c r="K394" i="7"/>
  <c r="L394" i="7"/>
  <c r="J395" i="7"/>
  <c r="K395" i="7"/>
  <c r="L395" i="7"/>
  <c r="J396" i="7"/>
  <c r="K396" i="7"/>
  <c r="L396" i="7"/>
  <c r="J397" i="7"/>
  <c r="K397" i="7"/>
  <c r="L397" i="7"/>
  <c r="J398" i="7"/>
  <c r="K398" i="7"/>
  <c r="L398" i="7"/>
  <c r="J399" i="7"/>
  <c r="K399" i="7"/>
  <c r="L399" i="7"/>
  <c r="J400" i="7"/>
  <c r="K400" i="7"/>
  <c r="L400" i="7"/>
  <c r="J401" i="7"/>
  <c r="K401" i="7"/>
  <c r="L401" i="7"/>
  <c r="J402" i="7"/>
  <c r="K402" i="7"/>
  <c r="L402" i="7"/>
  <c r="J403" i="7"/>
  <c r="K403" i="7"/>
  <c r="L403" i="7"/>
  <c r="J404" i="7"/>
  <c r="K404" i="7"/>
  <c r="L404" i="7"/>
  <c r="J405" i="7"/>
  <c r="K405" i="7"/>
  <c r="L405" i="7"/>
  <c r="J406" i="7"/>
  <c r="K406" i="7"/>
  <c r="L406" i="7"/>
  <c r="J407" i="7"/>
  <c r="K407" i="7"/>
  <c r="L407" i="7"/>
  <c r="J408" i="7"/>
  <c r="K408" i="7"/>
  <c r="L408" i="7"/>
  <c r="J409" i="7"/>
  <c r="K409" i="7"/>
  <c r="L409" i="7"/>
  <c r="J410" i="7"/>
  <c r="K410" i="7"/>
  <c r="L410" i="7"/>
  <c r="J411" i="7"/>
  <c r="K411" i="7"/>
  <c r="L411" i="7"/>
  <c r="J412" i="7"/>
  <c r="K412" i="7"/>
  <c r="L412" i="7"/>
  <c r="J413" i="7"/>
  <c r="K413" i="7"/>
  <c r="L413" i="7"/>
  <c r="J414" i="7"/>
  <c r="K414" i="7"/>
  <c r="L414" i="7"/>
  <c r="J415" i="7"/>
  <c r="K415" i="7"/>
  <c r="L415" i="7"/>
  <c r="J416" i="7"/>
  <c r="K416" i="7"/>
  <c r="L416" i="7"/>
  <c r="J417" i="7"/>
  <c r="K417" i="7"/>
  <c r="L417" i="7"/>
  <c r="J418" i="7"/>
  <c r="K418" i="7"/>
  <c r="L418" i="7"/>
  <c r="J419" i="7"/>
  <c r="K419" i="7"/>
  <c r="L419" i="7"/>
  <c r="J420" i="7"/>
  <c r="K420" i="7"/>
  <c r="L420" i="7"/>
  <c r="J421" i="7"/>
  <c r="K421" i="7"/>
  <c r="L421" i="7"/>
  <c r="J422" i="7"/>
  <c r="K422" i="7"/>
  <c r="L422" i="7"/>
  <c r="J423" i="7"/>
  <c r="K423" i="7"/>
  <c r="L423" i="7"/>
  <c r="J424" i="7"/>
  <c r="K424" i="7"/>
  <c r="L424" i="7"/>
  <c r="J425" i="7"/>
  <c r="K425" i="7"/>
  <c r="L425" i="7"/>
  <c r="J426" i="7"/>
  <c r="K426" i="7"/>
  <c r="L426" i="7"/>
  <c r="J427" i="7"/>
  <c r="K427" i="7"/>
  <c r="L427" i="7"/>
  <c r="J428" i="7"/>
  <c r="K428" i="7"/>
  <c r="L428" i="7"/>
  <c r="J429" i="7"/>
  <c r="K429" i="7"/>
  <c r="L429" i="7"/>
  <c r="J430" i="7"/>
  <c r="K430" i="7"/>
  <c r="L430" i="7"/>
  <c r="J431" i="7"/>
  <c r="K431" i="7"/>
  <c r="L431" i="7"/>
  <c r="J432" i="7"/>
  <c r="K432" i="7"/>
  <c r="L432" i="7"/>
  <c r="J433" i="7"/>
  <c r="K433" i="7"/>
  <c r="L433" i="7"/>
  <c r="J434" i="7"/>
  <c r="K434" i="7"/>
  <c r="L434" i="7"/>
  <c r="J435" i="7"/>
  <c r="K435" i="7"/>
  <c r="L435" i="7"/>
  <c r="J436" i="7"/>
  <c r="K436" i="7"/>
  <c r="L436" i="7"/>
  <c r="J437" i="7"/>
  <c r="K437" i="7"/>
  <c r="L437" i="7"/>
  <c r="J438" i="7"/>
  <c r="K438" i="7"/>
  <c r="L438" i="7"/>
  <c r="J439" i="7"/>
  <c r="K439" i="7"/>
  <c r="L439" i="7"/>
  <c r="J440" i="7"/>
  <c r="K440" i="7"/>
  <c r="L440" i="7"/>
  <c r="J441" i="7"/>
  <c r="K441" i="7"/>
  <c r="L441" i="7"/>
  <c r="J442" i="7"/>
  <c r="K442" i="7"/>
  <c r="L442" i="7"/>
  <c r="J443" i="7"/>
  <c r="K443" i="7"/>
  <c r="L443" i="7"/>
  <c r="J444" i="7"/>
  <c r="K444" i="7"/>
  <c r="L444" i="7"/>
  <c r="J445" i="7"/>
  <c r="K445" i="7"/>
  <c r="L445" i="7"/>
  <c r="J446" i="7"/>
  <c r="K446" i="7"/>
  <c r="L446" i="7"/>
  <c r="J447" i="7"/>
  <c r="K447" i="7"/>
  <c r="L447" i="7"/>
  <c r="J448" i="7"/>
  <c r="K448" i="7"/>
  <c r="L448" i="7"/>
  <c r="J449" i="7"/>
  <c r="K449" i="7"/>
  <c r="L449" i="7"/>
  <c r="J450" i="7"/>
  <c r="K450" i="7"/>
  <c r="L450" i="7"/>
  <c r="J451" i="7"/>
  <c r="K451" i="7"/>
  <c r="L451" i="7"/>
  <c r="J452" i="7"/>
  <c r="K452" i="7"/>
  <c r="L452" i="7"/>
  <c r="J453" i="7"/>
  <c r="K453" i="7"/>
  <c r="L453" i="7"/>
  <c r="J454" i="7"/>
  <c r="K454" i="7"/>
  <c r="L454" i="7"/>
  <c r="J455" i="7"/>
  <c r="K455" i="7"/>
  <c r="L455" i="7"/>
  <c r="J456" i="7"/>
  <c r="K456" i="7"/>
  <c r="L456" i="7"/>
  <c r="J457" i="7"/>
  <c r="K457" i="7"/>
  <c r="L457" i="7"/>
  <c r="J458" i="7"/>
  <c r="K458" i="7"/>
  <c r="L458" i="7"/>
  <c r="J459" i="7"/>
  <c r="K459" i="7"/>
  <c r="L459" i="7"/>
  <c r="J460" i="7"/>
  <c r="K460" i="7"/>
  <c r="L460" i="7"/>
  <c r="J461" i="7"/>
  <c r="K461" i="7"/>
  <c r="L461" i="7"/>
  <c r="J462" i="7"/>
  <c r="K462" i="7"/>
  <c r="L462" i="7"/>
  <c r="J463" i="7"/>
  <c r="K463" i="7"/>
  <c r="L463" i="7"/>
  <c r="J464" i="7"/>
  <c r="K464" i="7"/>
  <c r="L464" i="7"/>
  <c r="J465" i="7"/>
  <c r="K465" i="7"/>
  <c r="L465" i="7"/>
  <c r="J466" i="7"/>
  <c r="K466" i="7"/>
  <c r="L466" i="7"/>
  <c r="J467" i="7"/>
  <c r="K467" i="7"/>
  <c r="L467" i="7"/>
  <c r="J468" i="7"/>
  <c r="K468" i="7"/>
  <c r="L468" i="7"/>
  <c r="J469" i="7"/>
  <c r="K469" i="7"/>
  <c r="L469" i="7"/>
  <c r="J470" i="7"/>
  <c r="K470" i="7"/>
  <c r="L470" i="7"/>
  <c r="J471" i="7"/>
  <c r="K471" i="7"/>
  <c r="L471" i="7"/>
  <c r="J472" i="7"/>
  <c r="K472" i="7"/>
  <c r="L472" i="7"/>
  <c r="J473" i="7"/>
  <c r="K473" i="7"/>
  <c r="L473" i="7"/>
  <c r="J474" i="7"/>
  <c r="K474" i="7"/>
  <c r="L474" i="7"/>
  <c r="J475" i="7"/>
  <c r="K475" i="7"/>
  <c r="L475" i="7"/>
  <c r="J476" i="7"/>
  <c r="K476" i="7"/>
  <c r="L476" i="7"/>
  <c r="J477" i="7"/>
  <c r="K477" i="7"/>
  <c r="L477" i="7"/>
  <c r="J478" i="7"/>
  <c r="K478" i="7"/>
  <c r="L478" i="7"/>
  <c r="J479" i="7"/>
  <c r="K479" i="7"/>
  <c r="L479" i="7"/>
  <c r="J480" i="7"/>
  <c r="K480" i="7"/>
  <c r="L480" i="7"/>
  <c r="J481" i="7"/>
  <c r="K481" i="7"/>
  <c r="L481" i="7"/>
  <c r="J482" i="7"/>
  <c r="K482" i="7"/>
  <c r="L482" i="7"/>
  <c r="J483" i="7"/>
  <c r="K483" i="7"/>
  <c r="L483" i="7"/>
  <c r="J484" i="7"/>
  <c r="K484" i="7"/>
  <c r="L484" i="7"/>
  <c r="J485" i="7"/>
  <c r="K485" i="7"/>
  <c r="L485" i="7"/>
  <c r="J486" i="7"/>
  <c r="K486" i="7"/>
  <c r="L486" i="7"/>
  <c r="J487" i="7"/>
  <c r="K487" i="7"/>
  <c r="L487" i="7"/>
  <c r="J488" i="7"/>
  <c r="K488" i="7"/>
  <c r="L488" i="7"/>
  <c r="J489" i="7"/>
  <c r="K489" i="7"/>
  <c r="L489" i="7"/>
  <c r="J490" i="7"/>
  <c r="K490" i="7"/>
  <c r="L490" i="7"/>
  <c r="J491" i="7"/>
  <c r="K491" i="7"/>
  <c r="L491" i="7"/>
  <c r="J492" i="7"/>
  <c r="K492" i="7"/>
  <c r="L492" i="7"/>
  <c r="J493" i="7"/>
  <c r="K493" i="7"/>
  <c r="L493" i="7"/>
  <c r="J494" i="7"/>
  <c r="K494" i="7"/>
  <c r="L494" i="7"/>
  <c r="J495" i="7"/>
  <c r="K495" i="7"/>
  <c r="L495" i="7"/>
  <c r="J496" i="7"/>
  <c r="K496" i="7"/>
  <c r="L496" i="7"/>
  <c r="J497" i="7"/>
  <c r="K497" i="7"/>
  <c r="L497" i="7"/>
  <c r="J498" i="7"/>
  <c r="K498" i="7"/>
  <c r="L498" i="7"/>
  <c r="J499" i="7"/>
  <c r="K499" i="7"/>
  <c r="L499" i="7"/>
  <c r="J500" i="7"/>
  <c r="K500" i="7"/>
  <c r="L500" i="7"/>
  <c r="J501" i="7"/>
  <c r="K501" i="7"/>
  <c r="L501" i="7"/>
  <c r="J502" i="7"/>
  <c r="K502" i="7"/>
  <c r="L502" i="7"/>
  <c r="J503" i="7"/>
  <c r="K503" i="7"/>
  <c r="L503" i="7"/>
  <c r="J504" i="7"/>
  <c r="K504" i="7"/>
  <c r="L504" i="7"/>
  <c r="J505" i="7"/>
  <c r="K505" i="7"/>
  <c r="L505" i="7"/>
  <c r="J506" i="7"/>
  <c r="K506" i="7"/>
  <c r="L506" i="7"/>
  <c r="J507" i="7"/>
  <c r="K507" i="7"/>
  <c r="L507" i="7"/>
  <c r="J508" i="7"/>
  <c r="K508" i="7"/>
  <c r="L508" i="7"/>
  <c r="J509" i="7"/>
  <c r="K509" i="7"/>
  <c r="L509" i="7"/>
  <c r="J510" i="7"/>
  <c r="K510" i="7"/>
  <c r="L510" i="7"/>
  <c r="J511" i="7"/>
  <c r="K511" i="7"/>
  <c r="L511" i="7"/>
  <c r="J512" i="7"/>
  <c r="K512" i="7"/>
  <c r="L512" i="7"/>
  <c r="J513" i="7"/>
  <c r="K513" i="7"/>
  <c r="L513" i="7"/>
  <c r="J514" i="7"/>
  <c r="K514" i="7"/>
  <c r="L514" i="7"/>
  <c r="J515" i="7"/>
  <c r="K515" i="7"/>
  <c r="L515" i="7"/>
  <c r="J516" i="7"/>
  <c r="K516" i="7"/>
  <c r="L516" i="7"/>
  <c r="J517" i="7"/>
  <c r="K517" i="7"/>
  <c r="L517" i="7"/>
  <c r="J518" i="7"/>
  <c r="K518" i="7"/>
  <c r="L518" i="7"/>
  <c r="J519" i="7"/>
  <c r="K519" i="7"/>
  <c r="L519" i="7"/>
  <c r="J520" i="7"/>
  <c r="K520" i="7"/>
  <c r="L520" i="7"/>
  <c r="J521" i="7"/>
  <c r="K521" i="7"/>
  <c r="L521" i="7"/>
  <c r="J522" i="7"/>
  <c r="K522" i="7"/>
  <c r="L522" i="7"/>
  <c r="J523" i="7"/>
  <c r="K523" i="7"/>
  <c r="L523" i="7"/>
  <c r="J524" i="7"/>
  <c r="K524" i="7"/>
  <c r="L524" i="7"/>
  <c r="J525" i="7"/>
  <c r="K525" i="7"/>
  <c r="L525" i="7"/>
  <c r="J526" i="7"/>
  <c r="K526" i="7"/>
  <c r="L526" i="7"/>
  <c r="J527" i="7"/>
  <c r="K527" i="7"/>
  <c r="L527" i="7"/>
  <c r="J528" i="7"/>
  <c r="K528" i="7"/>
  <c r="L528" i="7"/>
  <c r="J529" i="7"/>
  <c r="K529" i="7"/>
  <c r="L529" i="7"/>
  <c r="J530" i="7"/>
  <c r="K530" i="7"/>
  <c r="L530" i="7"/>
  <c r="J531" i="7"/>
  <c r="K531" i="7"/>
  <c r="L531" i="7"/>
  <c r="J532" i="7"/>
  <c r="K532" i="7"/>
  <c r="L532" i="7"/>
  <c r="J533" i="7"/>
  <c r="K533" i="7"/>
  <c r="L533" i="7"/>
  <c r="J534" i="7"/>
  <c r="K534" i="7"/>
  <c r="L534" i="7"/>
  <c r="J535" i="7"/>
  <c r="K535" i="7"/>
  <c r="L535" i="7"/>
  <c r="J536" i="7"/>
  <c r="K536" i="7"/>
  <c r="L536" i="7"/>
  <c r="J537" i="7"/>
  <c r="K537" i="7"/>
  <c r="L537" i="7"/>
  <c r="J538" i="7"/>
  <c r="K538" i="7"/>
  <c r="L538" i="7"/>
  <c r="J539" i="7"/>
  <c r="K539" i="7"/>
  <c r="L539" i="7"/>
  <c r="J540" i="7"/>
  <c r="K540" i="7"/>
  <c r="L540" i="7"/>
  <c r="J541" i="7"/>
  <c r="K541" i="7"/>
  <c r="L541" i="7"/>
  <c r="J542" i="7"/>
  <c r="K542" i="7"/>
  <c r="L542" i="7"/>
  <c r="J543" i="7"/>
  <c r="K543" i="7"/>
  <c r="L543" i="7"/>
  <c r="J544" i="7"/>
  <c r="K544" i="7"/>
  <c r="L544" i="7"/>
  <c r="J545" i="7"/>
  <c r="K545" i="7"/>
  <c r="L545" i="7"/>
  <c r="J546" i="7"/>
  <c r="K546" i="7"/>
  <c r="L546" i="7"/>
  <c r="J547" i="7"/>
  <c r="K547" i="7"/>
  <c r="L547" i="7"/>
  <c r="J548" i="7"/>
  <c r="K548" i="7"/>
  <c r="L548" i="7"/>
  <c r="J549" i="7"/>
  <c r="K549" i="7"/>
  <c r="L549" i="7"/>
  <c r="J550" i="7"/>
  <c r="K550" i="7"/>
  <c r="L550" i="7"/>
  <c r="J551" i="7"/>
  <c r="K551" i="7"/>
  <c r="L551" i="7"/>
  <c r="J552" i="7"/>
  <c r="K552" i="7"/>
  <c r="L552" i="7"/>
  <c r="J553" i="7"/>
  <c r="K553" i="7"/>
  <c r="L553" i="7"/>
  <c r="J554" i="7"/>
  <c r="K554" i="7"/>
  <c r="L554" i="7"/>
  <c r="J555" i="7"/>
  <c r="K555" i="7"/>
  <c r="L555" i="7"/>
  <c r="J556" i="7"/>
  <c r="K556" i="7"/>
  <c r="L556" i="7"/>
  <c r="J557" i="7"/>
  <c r="K557" i="7"/>
  <c r="L557" i="7"/>
  <c r="J558" i="7"/>
  <c r="K558" i="7"/>
  <c r="L558" i="7"/>
  <c r="J559" i="7"/>
  <c r="K559" i="7"/>
  <c r="L559" i="7"/>
  <c r="J560" i="7"/>
  <c r="K560" i="7"/>
  <c r="L560" i="7"/>
  <c r="J561" i="7"/>
  <c r="K561" i="7"/>
  <c r="L561" i="7"/>
  <c r="J562" i="7"/>
  <c r="K562" i="7"/>
  <c r="L562" i="7"/>
  <c r="J563" i="7"/>
  <c r="K563" i="7"/>
  <c r="L563" i="7"/>
  <c r="J564" i="7"/>
  <c r="K564" i="7"/>
  <c r="L564" i="7"/>
  <c r="J565" i="7"/>
  <c r="K565" i="7"/>
  <c r="L565" i="7"/>
  <c r="J566" i="7"/>
  <c r="K566" i="7"/>
  <c r="L566" i="7"/>
  <c r="J567" i="7"/>
  <c r="K567" i="7"/>
  <c r="L567" i="7"/>
  <c r="J568" i="7"/>
  <c r="K568" i="7"/>
  <c r="L568" i="7"/>
  <c r="J569" i="7"/>
  <c r="K569" i="7"/>
  <c r="L569" i="7"/>
  <c r="J570" i="7"/>
  <c r="K570" i="7"/>
  <c r="L570" i="7"/>
  <c r="J571" i="7"/>
  <c r="K571" i="7"/>
  <c r="L571" i="7"/>
  <c r="J572" i="7"/>
  <c r="K572" i="7"/>
  <c r="L572" i="7"/>
  <c r="J573" i="7"/>
  <c r="K573" i="7"/>
  <c r="L573" i="7"/>
  <c r="J574" i="7"/>
  <c r="K574" i="7"/>
  <c r="L574" i="7"/>
  <c r="J575" i="7"/>
  <c r="K575" i="7"/>
  <c r="L575" i="7"/>
  <c r="J576" i="7"/>
  <c r="K576" i="7"/>
  <c r="L576" i="7"/>
  <c r="J577" i="7"/>
  <c r="K577" i="7"/>
  <c r="L577" i="7"/>
  <c r="J578" i="7"/>
  <c r="K578" i="7"/>
  <c r="L578" i="7"/>
  <c r="J579" i="7"/>
  <c r="K579" i="7"/>
  <c r="L579" i="7"/>
  <c r="J580" i="7"/>
  <c r="K580" i="7"/>
  <c r="L580" i="7"/>
  <c r="J581" i="7"/>
  <c r="K581" i="7"/>
  <c r="L581" i="7"/>
  <c r="J582" i="7"/>
  <c r="K582" i="7"/>
  <c r="L582" i="7"/>
  <c r="J583" i="7"/>
  <c r="K583" i="7"/>
  <c r="L583" i="7"/>
  <c r="J584" i="7"/>
  <c r="K584" i="7"/>
  <c r="L584" i="7"/>
  <c r="J585" i="7"/>
  <c r="K585" i="7"/>
  <c r="L585" i="7"/>
  <c r="J586" i="7"/>
  <c r="K586" i="7"/>
  <c r="L586" i="7"/>
  <c r="J587" i="7"/>
  <c r="K587" i="7"/>
  <c r="L587" i="7"/>
  <c r="J588" i="7"/>
  <c r="K588" i="7"/>
  <c r="L588" i="7"/>
  <c r="J589" i="7"/>
  <c r="K589" i="7"/>
  <c r="L589" i="7"/>
  <c r="J590" i="7"/>
  <c r="K590" i="7"/>
  <c r="L590" i="7"/>
  <c r="J591" i="7"/>
  <c r="K591" i="7"/>
  <c r="L591" i="7"/>
  <c r="J592" i="7"/>
  <c r="K592" i="7"/>
  <c r="L592" i="7"/>
  <c r="J593" i="7"/>
  <c r="K593" i="7"/>
  <c r="L593" i="7"/>
  <c r="J594" i="7"/>
  <c r="K594" i="7"/>
  <c r="L594" i="7"/>
  <c r="J595" i="7"/>
  <c r="K595" i="7"/>
  <c r="L595" i="7"/>
  <c r="J596" i="7"/>
  <c r="K596" i="7"/>
  <c r="L596" i="7"/>
  <c r="J597" i="7"/>
  <c r="K597" i="7"/>
  <c r="L597" i="7"/>
  <c r="J598" i="7"/>
  <c r="K598" i="7"/>
  <c r="L598" i="7"/>
  <c r="J599" i="7"/>
  <c r="K599" i="7"/>
  <c r="L599" i="7"/>
  <c r="J600" i="7"/>
  <c r="K600" i="7"/>
  <c r="L600" i="7"/>
  <c r="J601" i="7"/>
  <c r="K601" i="7"/>
  <c r="L601" i="7"/>
  <c r="J602" i="7"/>
  <c r="K602" i="7"/>
  <c r="L602" i="7"/>
  <c r="J603" i="7"/>
  <c r="K603" i="7"/>
  <c r="L603" i="7"/>
  <c r="J604" i="7"/>
  <c r="K604" i="7"/>
  <c r="L604" i="7"/>
  <c r="J605" i="7"/>
  <c r="K605" i="7"/>
  <c r="L605" i="7"/>
  <c r="J606" i="7"/>
  <c r="K606" i="7"/>
  <c r="L606" i="7"/>
  <c r="J607" i="7"/>
  <c r="K607" i="7"/>
  <c r="L607" i="7"/>
  <c r="J608" i="7"/>
  <c r="K608" i="7"/>
  <c r="L608" i="7"/>
  <c r="J609" i="7"/>
  <c r="K609" i="7"/>
  <c r="L609" i="7"/>
  <c r="J610" i="7"/>
  <c r="K610" i="7"/>
  <c r="L610" i="7"/>
  <c r="J611" i="7"/>
  <c r="K611" i="7"/>
  <c r="L611" i="7"/>
  <c r="J612" i="7"/>
  <c r="K612" i="7"/>
  <c r="L612" i="7"/>
  <c r="J613" i="7"/>
  <c r="K613" i="7"/>
  <c r="L613" i="7"/>
  <c r="J614" i="7"/>
  <c r="K614" i="7"/>
  <c r="L614" i="7"/>
  <c r="J615" i="7"/>
  <c r="K615" i="7"/>
  <c r="L615" i="7"/>
  <c r="J616" i="7"/>
  <c r="K616" i="7"/>
  <c r="L616" i="7"/>
  <c r="J617" i="7"/>
  <c r="K617" i="7"/>
  <c r="L617" i="7"/>
  <c r="J618" i="7"/>
  <c r="K618" i="7"/>
  <c r="L618" i="7"/>
  <c r="J619" i="7"/>
  <c r="K619" i="7"/>
  <c r="L619" i="7"/>
  <c r="J620" i="7"/>
  <c r="K620" i="7"/>
  <c r="L620" i="7"/>
  <c r="J621" i="7"/>
  <c r="K621" i="7"/>
  <c r="L621" i="7"/>
  <c r="J622" i="7"/>
  <c r="K622" i="7"/>
  <c r="L622" i="7"/>
  <c r="J623" i="7"/>
  <c r="K623" i="7"/>
  <c r="L623" i="7"/>
  <c r="J624" i="7"/>
  <c r="K624" i="7"/>
  <c r="L624" i="7"/>
  <c r="J625" i="7"/>
  <c r="K625" i="7"/>
  <c r="L625" i="7"/>
  <c r="J626" i="7"/>
  <c r="K626" i="7"/>
  <c r="L626" i="7"/>
  <c r="J627" i="7"/>
  <c r="K627" i="7"/>
  <c r="L627" i="7"/>
  <c r="J628" i="7"/>
  <c r="K628" i="7"/>
  <c r="L628" i="7"/>
  <c r="J629" i="7"/>
  <c r="K629" i="7"/>
  <c r="L629" i="7"/>
  <c r="J630" i="7"/>
  <c r="K630" i="7"/>
  <c r="L630" i="7"/>
  <c r="J631" i="7"/>
  <c r="K631" i="7"/>
  <c r="L631" i="7"/>
  <c r="J632" i="7"/>
  <c r="K632" i="7"/>
  <c r="L632" i="7"/>
  <c r="J633" i="7"/>
  <c r="K633" i="7"/>
  <c r="L633" i="7"/>
  <c r="J634" i="7"/>
  <c r="K634" i="7"/>
  <c r="L634" i="7"/>
  <c r="J635" i="7"/>
  <c r="K635" i="7"/>
  <c r="L635" i="7"/>
  <c r="J636" i="7"/>
  <c r="K636" i="7"/>
  <c r="L636" i="7"/>
  <c r="J637" i="7"/>
  <c r="K637" i="7"/>
  <c r="L637" i="7"/>
  <c r="J638" i="7"/>
  <c r="K638" i="7"/>
  <c r="L638" i="7"/>
  <c r="J639" i="7"/>
  <c r="K639" i="7"/>
  <c r="L639" i="7"/>
  <c r="J640" i="7"/>
  <c r="K640" i="7"/>
  <c r="L640" i="7"/>
  <c r="J641" i="7"/>
  <c r="K641" i="7"/>
  <c r="L641" i="7"/>
  <c r="J642" i="7"/>
  <c r="K642" i="7"/>
  <c r="L642" i="7"/>
  <c r="J643" i="7"/>
  <c r="K643" i="7"/>
  <c r="L643" i="7"/>
  <c r="J644" i="7"/>
  <c r="K644" i="7"/>
  <c r="L644" i="7"/>
  <c r="J645" i="7"/>
  <c r="K645" i="7"/>
  <c r="L645" i="7"/>
  <c r="J646" i="7"/>
  <c r="K646" i="7"/>
  <c r="L646" i="7"/>
  <c r="J647" i="7"/>
  <c r="K647" i="7"/>
  <c r="L647" i="7"/>
  <c r="J648" i="7"/>
  <c r="K648" i="7"/>
  <c r="L648" i="7"/>
  <c r="J649" i="7"/>
  <c r="K649" i="7"/>
  <c r="L649" i="7"/>
  <c r="J650" i="7"/>
  <c r="K650" i="7"/>
  <c r="L650" i="7"/>
  <c r="J651" i="7"/>
  <c r="K651" i="7"/>
  <c r="L651" i="7"/>
  <c r="J652" i="7"/>
  <c r="K652" i="7"/>
  <c r="L652" i="7"/>
  <c r="J653" i="7"/>
  <c r="K653" i="7"/>
  <c r="L653" i="7"/>
  <c r="J654" i="7"/>
  <c r="K654" i="7"/>
  <c r="L654" i="7"/>
  <c r="J655" i="7"/>
  <c r="K655" i="7"/>
  <c r="L655" i="7"/>
  <c r="J656" i="7"/>
  <c r="K656" i="7"/>
  <c r="L656" i="7"/>
  <c r="J657" i="7"/>
  <c r="K657" i="7"/>
  <c r="L657" i="7"/>
  <c r="J658" i="7"/>
  <c r="K658" i="7"/>
  <c r="L658" i="7"/>
  <c r="J659" i="7"/>
  <c r="K659" i="7"/>
  <c r="L659" i="7"/>
  <c r="J660" i="7"/>
  <c r="K660" i="7"/>
  <c r="L660" i="7"/>
  <c r="J661" i="7"/>
  <c r="K661" i="7"/>
  <c r="L661" i="7"/>
  <c r="J662" i="7"/>
  <c r="K662" i="7"/>
  <c r="L662" i="7"/>
  <c r="J663" i="7"/>
  <c r="K663" i="7"/>
  <c r="L663" i="7"/>
  <c r="J664" i="7"/>
  <c r="K664" i="7"/>
  <c r="L664" i="7"/>
  <c r="J665" i="7"/>
  <c r="K665" i="7"/>
  <c r="L665" i="7"/>
  <c r="J666" i="7"/>
  <c r="K666" i="7"/>
  <c r="L666" i="7"/>
  <c r="J667" i="7"/>
  <c r="K667" i="7"/>
  <c r="L667" i="7"/>
  <c r="J668" i="7"/>
  <c r="K668" i="7"/>
  <c r="L668" i="7"/>
  <c r="J669" i="7"/>
  <c r="K669" i="7"/>
  <c r="L669" i="7"/>
  <c r="J670" i="7"/>
  <c r="K670" i="7"/>
  <c r="L670" i="7"/>
  <c r="J671" i="7"/>
  <c r="K671" i="7"/>
  <c r="L671" i="7"/>
  <c r="J672" i="7"/>
  <c r="K672" i="7"/>
  <c r="L672" i="7"/>
  <c r="J673" i="7"/>
  <c r="K673" i="7"/>
  <c r="L673" i="7"/>
  <c r="J674" i="7"/>
  <c r="K674" i="7"/>
  <c r="L674" i="7"/>
  <c r="J675" i="7"/>
  <c r="K675" i="7"/>
  <c r="L675" i="7"/>
  <c r="J676" i="7"/>
  <c r="K676" i="7"/>
  <c r="L676" i="7"/>
  <c r="J677" i="7"/>
  <c r="K677" i="7"/>
  <c r="L677" i="7"/>
  <c r="J678" i="7"/>
  <c r="K678" i="7"/>
  <c r="L678" i="7"/>
  <c r="J679" i="7"/>
  <c r="K679" i="7"/>
  <c r="L679" i="7"/>
  <c r="J680" i="7"/>
  <c r="K680" i="7"/>
  <c r="L680" i="7"/>
  <c r="J681" i="7"/>
  <c r="K681" i="7"/>
  <c r="L681" i="7"/>
  <c r="J682" i="7"/>
  <c r="K682" i="7"/>
  <c r="L682" i="7"/>
  <c r="J683" i="7"/>
  <c r="K683" i="7"/>
  <c r="L683" i="7"/>
  <c r="J684" i="7"/>
  <c r="K684" i="7"/>
  <c r="L684" i="7"/>
  <c r="J685" i="7"/>
  <c r="K685" i="7"/>
  <c r="L685" i="7"/>
  <c r="J686" i="7"/>
  <c r="K686" i="7"/>
  <c r="L686" i="7"/>
  <c r="J687" i="7"/>
  <c r="K687" i="7"/>
  <c r="L687" i="7"/>
  <c r="J688" i="7"/>
  <c r="K688" i="7"/>
  <c r="L688" i="7"/>
  <c r="J689" i="7"/>
  <c r="K689" i="7"/>
  <c r="L689" i="7"/>
  <c r="J690" i="7"/>
  <c r="K690" i="7"/>
  <c r="L690" i="7"/>
  <c r="J691" i="7"/>
  <c r="K691" i="7"/>
  <c r="L691" i="7"/>
  <c r="J692" i="7"/>
  <c r="K692" i="7"/>
  <c r="L692" i="7"/>
  <c r="J693" i="7"/>
  <c r="K693" i="7"/>
  <c r="L693" i="7"/>
  <c r="J694" i="7"/>
  <c r="K694" i="7"/>
  <c r="L694" i="7"/>
  <c r="J695" i="7"/>
  <c r="K695" i="7"/>
  <c r="L695" i="7"/>
  <c r="J696" i="7"/>
  <c r="K696" i="7"/>
  <c r="L696" i="7"/>
  <c r="J697" i="7"/>
  <c r="K697" i="7"/>
  <c r="L697" i="7"/>
  <c r="J698" i="7"/>
  <c r="K698" i="7"/>
  <c r="L698" i="7"/>
  <c r="J699" i="7"/>
  <c r="K699" i="7"/>
  <c r="L699" i="7"/>
  <c r="J700" i="7"/>
  <c r="K700" i="7"/>
  <c r="L700" i="7"/>
  <c r="J701" i="7"/>
  <c r="K701" i="7"/>
  <c r="L701" i="7"/>
  <c r="J702" i="7"/>
  <c r="K702" i="7"/>
  <c r="L702" i="7"/>
  <c r="J703" i="7"/>
  <c r="K703" i="7"/>
  <c r="L703" i="7"/>
  <c r="J704" i="7"/>
  <c r="K704" i="7"/>
  <c r="L704" i="7"/>
  <c r="J705" i="7"/>
  <c r="K705" i="7"/>
  <c r="L705" i="7"/>
  <c r="J706" i="7"/>
  <c r="K706" i="7"/>
  <c r="L706" i="7"/>
  <c r="J707" i="7"/>
  <c r="K707" i="7"/>
  <c r="L707" i="7"/>
  <c r="J708" i="7"/>
  <c r="K708" i="7"/>
  <c r="L708" i="7"/>
  <c r="J709" i="7"/>
  <c r="K709" i="7"/>
  <c r="L709" i="7"/>
  <c r="J710" i="7"/>
  <c r="K710" i="7"/>
  <c r="L710" i="7"/>
  <c r="J711" i="7"/>
  <c r="K711" i="7"/>
  <c r="L711" i="7"/>
  <c r="J712" i="7"/>
  <c r="K712" i="7"/>
  <c r="L712" i="7"/>
  <c r="J713" i="7"/>
  <c r="K713" i="7"/>
  <c r="L713" i="7"/>
  <c r="J714" i="7"/>
  <c r="K714" i="7"/>
  <c r="L714" i="7"/>
  <c r="J715" i="7"/>
  <c r="K715" i="7"/>
  <c r="L715" i="7"/>
  <c r="J716" i="7"/>
  <c r="K716" i="7"/>
  <c r="L716" i="7"/>
  <c r="J717" i="7"/>
  <c r="K717" i="7"/>
  <c r="L717" i="7"/>
  <c r="J718" i="7"/>
  <c r="K718" i="7"/>
  <c r="L718" i="7"/>
  <c r="J719" i="7"/>
  <c r="K719" i="7"/>
  <c r="L719" i="7"/>
  <c r="J720" i="7"/>
  <c r="K720" i="7"/>
  <c r="L720" i="7"/>
  <c r="J721" i="7"/>
  <c r="K721" i="7"/>
  <c r="L721" i="7"/>
  <c r="J722" i="7"/>
  <c r="K722" i="7"/>
  <c r="L722" i="7"/>
  <c r="J723" i="7"/>
  <c r="K723" i="7"/>
  <c r="L723" i="7"/>
  <c r="J724" i="7"/>
  <c r="K724" i="7"/>
  <c r="L724" i="7"/>
  <c r="J725" i="7"/>
  <c r="K725" i="7"/>
  <c r="L725" i="7"/>
  <c r="J726" i="7"/>
  <c r="K726" i="7"/>
  <c r="L726" i="7"/>
  <c r="J727" i="7"/>
  <c r="K727" i="7"/>
  <c r="L727" i="7"/>
  <c r="J728" i="7"/>
  <c r="K728" i="7"/>
  <c r="L728" i="7"/>
  <c r="J729" i="7"/>
  <c r="K729" i="7"/>
  <c r="L729" i="7"/>
  <c r="J730" i="7"/>
  <c r="K730" i="7"/>
  <c r="L730" i="7"/>
  <c r="J731" i="7"/>
  <c r="K731" i="7"/>
  <c r="L731" i="7"/>
  <c r="J732" i="7"/>
  <c r="K732" i="7"/>
  <c r="L732" i="7"/>
  <c r="J733" i="7"/>
  <c r="K733" i="7"/>
  <c r="L733" i="7"/>
  <c r="J734" i="7"/>
  <c r="K734" i="7"/>
  <c r="L734" i="7"/>
  <c r="J735" i="7"/>
  <c r="K735" i="7"/>
  <c r="L735" i="7"/>
  <c r="J736" i="7"/>
  <c r="K736" i="7"/>
  <c r="L736" i="7"/>
  <c r="J737" i="7"/>
  <c r="K737" i="7"/>
  <c r="L737" i="7"/>
  <c r="J738" i="7"/>
  <c r="K738" i="7"/>
  <c r="L738" i="7"/>
  <c r="J739" i="7"/>
  <c r="K739" i="7"/>
  <c r="L739" i="7"/>
  <c r="J740" i="7"/>
  <c r="K740" i="7"/>
  <c r="L740" i="7"/>
  <c r="J741" i="7"/>
  <c r="K741" i="7"/>
  <c r="L741" i="7"/>
  <c r="J742" i="7"/>
  <c r="K742" i="7"/>
  <c r="L742" i="7"/>
  <c r="J743" i="7"/>
  <c r="K743" i="7"/>
  <c r="L743" i="7"/>
  <c r="J744" i="7"/>
  <c r="K744" i="7"/>
  <c r="L744" i="7"/>
  <c r="J745" i="7"/>
  <c r="K745" i="7"/>
  <c r="L745" i="7"/>
  <c r="J746" i="7"/>
  <c r="K746" i="7"/>
  <c r="L746" i="7"/>
  <c r="J747" i="7"/>
  <c r="K747" i="7"/>
  <c r="L747" i="7"/>
  <c r="J748" i="7"/>
  <c r="K748" i="7"/>
  <c r="L748" i="7"/>
  <c r="J749" i="7"/>
  <c r="K749" i="7"/>
  <c r="L749" i="7"/>
  <c r="J750" i="7"/>
  <c r="K750" i="7"/>
  <c r="L750" i="7"/>
  <c r="J751" i="7"/>
  <c r="K751" i="7"/>
  <c r="L751" i="7"/>
  <c r="J752" i="7"/>
  <c r="K752" i="7"/>
  <c r="L752" i="7"/>
  <c r="J753" i="7"/>
  <c r="K753" i="7"/>
  <c r="L753" i="7"/>
  <c r="J754" i="7"/>
  <c r="K754" i="7"/>
  <c r="L754" i="7"/>
  <c r="J755" i="7"/>
  <c r="K755" i="7"/>
  <c r="L755" i="7"/>
  <c r="J756" i="7"/>
  <c r="K756" i="7"/>
  <c r="L756" i="7"/>
  <c r="J757" i="7"/>
  <c r="K757" i="7"/>
  <c r="L757" i="7"/>
  <c r="J758" i="7"/>
  <c r="K758" i="7"/>
  <c r="L758" i="7"/>
  <c r="J759" i="7"/>
  <c r="K759" i="7"/>
  <c r="L759" i="7"/>
  <c r="J760" i="7"/>
  <c r="K760" i="7"/>
  <c r="L760" i="7"/>
  <c r="J761" i="7"/>
  <c r="K761" i="7"/>
  <c r="L761" i="7"/>
  <c r="J762" i="7"/>
  <c r="K762" i="7"/>
  <c r="L762" i="7"/>
  <c r="J763" i="7"/>
  <c r="K763" i="7"/>
  <c r="L763" i="7"/>
  <c r="J764" i="7"/>
  <c r="K764" i="7"/>
  <c r="L764" i="7"/>
  <c r="J765" i="7"/>
  <c r="K765" i="7"/>
  <c r="L765" i="7"/>
  <c r="J766" i="7"/>
  <c r="K766" i="7"/>
  <c r="L766" i="7"/>
  <c r="J767" i="7"/>
  <c r="K767" i="7"/>
  <c r="L767" i="7"/>
  <c r="J768" i="7"/>
  <c r="K768" i="7"/>
  <c r="L768" i="7"/>
  <c r="J769" i="7"/>
  <c r="K769" i="7"/>
  <c r="L769" i="7"/>
  <c r="J770" i="7"/>
  <c r="K770" i="7"/>
  <c r="L770" i="7"/>
  <c r="J771" i="7"/>
  <c r="K771" i="7"/>
  <c r="L771" i="7"/>
  <c r="J772" i="7"/>
  <c r="K772" i="7"/>
  <c r="L772" i="7"/>
  <c r="J773" i="7"/>
  <c r="K773" i="7"/>
  <c r="L773" i="7"/>
  <c r="J774" i="7"/>
  <c r="K774" i="7"/>
  <c r="L774" i="7"/>
  <c r="J775" i="7"/>
  <c r="K775" i="7"/>
  <c r="L775" i="7"/>
  <c r="J776" i="7"/>
  <c r="K776" i="7"/>
  <c r="L776" i="7"/>
  <c r="J777" i="7"/>
  <c r="K777" i="7"/>
  <c r="L777" i="7"/>
  <c r="J778" i="7"/>
  <c r="K778" i="7"/>
  <c r="L778" i="7"/>
  <c r="J779" i="7"/>
  <c r="K779" i="7"/>
  <c r="L779" i="7"/>
  <c r="J780" i="7"/>
  <c r="K780" i="7"/>
  <c r="L780" i="7"/>
  <c r="J781" i="7"/>
  <c r="K781" i="7"/>
  <c r="L781" i="7"/>
  <c r="J782" i="7"/>
  <c r="K782" i="7"/>
  <c r="L782" i="7"/>
  <c r="J783" i="7"/>
  <c r="K783" i="7"/>
  <c r="L783" i="7"/>
  <c r="J784" i="7"/>
  <c r="K784" i="7"/>
  <c r="L784" i="7"/>
  <c r="J785" i="7"/>
  <c r="K785" i="7"/>
  <c r="L785" i="7"/>
  <c r="J786" i="7"/>
  <c r="K786" i="7"/>
  <c r="L786" i="7"/>
  <c r="J787" i="7"/>
  <c r="K787" i="7"/>
  <c r="L787" i="7"/>
  <c r="J788" i="7"/>
  <c r="K788" i="7"/>
  <c r="L788" i="7"/>
  <c r="J789" i="7"/>
  <c r="K789" i="7"/>
  <c r="L789" i="7"/>
  <c r="J790" i="7"/>
  <c r="K790" i="7"/>
  <c r="L790" i="7"/>
  <c r="J791" i="7"/>
  <c r="K791" i="7"/>
  <c r="L791" i="7"/>
  <c r="J792" i="7"/>
  <c r="K792" i="7"/>
  <c r="L792" i="7"/>
  <c r="J793" i="7"/>
  <c r="K793" i="7"/>
  <c r="L793" i="7"/>
  <c r="J794" i="7"/>
  <c r="K794" i="7"/>
  <c r="L794" i="7"/>
  <c r="J795" i="7"/>
  <c r="K795" i="7"/>
  <c r="L795" i="7"/>
  <c r="J796" i="7"/>
  <c r="K796" i="7"/>
  <c r="L796" i="7"/>
  <c r="J797" i="7"/>
  <c r="K797" i="7"/>
  <c r="L797" i="7"/>
  <c r="J798" i="7"/>
  <c r="K798" i="7"/>
  <c r="L798" i="7"/>
  <c r="J799" i="7"/>
  <c r="K799" i="7"/>
  <c r="L799" i="7"/>
  <c r="J800" i="7"/>
  <c r="K800" i="7"/>
  <c r="L800" i="7"/>
  <c r="J801" i="7"/>
  <c r="K801" i="7"/>
  <c r="L801" i="7"/>
  <c r="J802" i="7"/>
  <c r="K802" i="7"/>
  <c r="L802" i="7"/>
  <c r="J803" i="7"/>
  <c r="K803" i="7"/>
  <c r="L803" i="7"/>
  <c r="J804" i="7"/>
  <c r="K804" i="7"/>
  <c r="L804" i="7"/>
  <c r="J805" i="7"/>
  <c r="K805" i="7"/>
  <c r="L805" i="7"/>
  <c r="J806" i="7"/>
  <c r="K806" i="7"/>
  <c r="L806" i="7"/>
  <c r="J807" i="7"/>
  <c r="K807" i="7"/>
  <c r="L807" i="7"/>
  <c r="J808" i="7"/>
  <c r="K808" i="7"/>
  <c r="L808" i="7"/>
  <c r="J809" i="7"/>
  <c r="K809" i="7"/>
  <c r="L809" i="7"/>
  <c r="J810" i="7"/>
  <c r="K810" i="7"/>
  <c r="L810" i="7"/>
  <c r="J811" i="7"/>
  <c r="K811" i="7"/>
  <c r="L811" i="7"/>
  <c r="J812" i="7"/>
  <c r="K812" i="7"/>
  <c r="L812" i="7"/>
  <c r="J813" i="7"/>
  <c r="K813" i="7"/>
  <c r="L813" i="7"/>
  <c r="J814" i="7"/>
  <c r="K814" i="7"/>
  <c r="L814" i="7"/>
  <c r="J815" i="7"/>
  <c r="K815" i="7"/>
  <c r="L815" i="7"/>
  <c r="J816" i="7"/>
  <c r="K816" i="7"/>
  <c r="L816" i="7"/>
  <c r="J817" i="7"/>
  <c r="K817" i="7"/>
  <c r="L817" i="7"/>
  <c r="J818" i="7"/>
  <c r="K818" i="7"/>
  <c r="L818" i="7"/>
  <c r="J819" i="7"/>
  <c r="K819" i="7"/>
  <c r="L819" i="7"/>
  <c r="J820" i="7"/>
  <c r="K820" i="7"/>
  <c r="L820" i="7"/>
  <c r="J821" i="7"/>
  <c r="K821" i="7"/>
  <c r="L821" i="7"/>
  <c r="J822" i="7"/>
  <c r="K822" i="7"/>
  <c r="L822" i="7"/>
  <c r="J823" i="7"/>
  <c r="K823" i="7"/>
  <c r="L823" i="7"/>
  <c r="J824" i="7"/>
  <c r="K824" i="7"/>
  <c r="L824" i="7"/>
  <c r="J825" i="7"/>
  <c r="K825" i="7"/>
  <c r="L825" i="7"/>
  <c r="J826" i="7"/>
  <c r="K826" i="7"/>
  <c r="L826" i="7"/>
  <c r="J827" i="7"/>
  <c r="K827" i="7"/>
  <c r="L827" i="7"/>
  <c r="J828" i="7"/>
  <c r="K828" i="7"/>
  <c r="L828" i="7"/>
  <c r="J829" i="7"/>
  <c r="K829" i="7"/>
  <c r="L829" i="7"/>
  <c r="J830" i="7"/>
  <c r="K830" i="7"/>
  <c r="L830" i="7"/>
  <c r="J831" i="7"/>
  <c r="K831" i="7"/>
  <c r="L831" i="7"/>
  <c r="J832" i="7"/>
  <c r="K832" i="7"/>
  <c r="L832" i="7"/>
  <c r="J833" i="7"/>
  <c r="K833" i="7"/>
  <c r="L833" i="7"/>
  <c r="J834" i="7"/>
  <c r="K834" i="7"/>
  <c r="L834" i="7"/>
  <c r="J835" i="7"/>
  <c r="K835" i="7"/>
  <c r="L835" i="7"/>
  <c r="J836" i="7"/>
  <c r="K836" i="7"/>
  <c r="L836" i="7"/>
  <c r="J837" i="7"/>
  <c r="K837" i="7"/>
  <c r="L837" i="7"/>
  <c r="J838" i="7"/>
  <c r="K838" i="7"/>
  <c r="L838" i="7"/>
  <c r="J839" i="7"/>
  <c r="K839" i="7"/>
  <c r="L839" i="7"/>
  <c r="J840" i="7"/>
  <c r="K840" i="7"/>
  <c r="L840" i="7"/>
  <c r="J841" i="7"/>
  <c r="K841" i="7"/>
  <c r="L841" i="7"/>
  <c r="J842" i="7"/>
  <c r="K842" i="7"/>
  <c r="L842" i="7"/>
  <c r="J843" i="7"/>
  <c r="K843" i="7"/>
  <c r="L843" i="7"/>
  <c r="J844" i="7"/>
  <c r="K844" i="7"/>
  <c r="L844" i="7"/>
  <c r="J845" i="7"/>
  <c r="K845" i="7"/>
  <c r="L845" i="7"/>
  <c r="J846" i="7"/>
  <c r="K846" i="7"/>
  <c r="L846" i="7"/>
  <c r="J847" i="7"/>
  <c r="K847" i="7"/>
  <c r="L847" i="7"/>
  <c r="J848" i="7"/>
  <c r="K848" i="7"/>
  <c r="L848" i="7"/>
  <c r="J849" i="7"/>
  <c r="K849" i="7"/>
  <c r="L849" i="7"/>
  <c r="J850" i="7"/>
  <c r="K850" i="7"/>
  <c r="L850" i="7"/>
  <c r="J851" i="7"/>
  <c r="K851" i="7"/>
  <c r="L851" i="7"/>
  <c r="J852" i="7"/>
  <c r="K852" i="7"/>
  <c r="L852" i="7"/>
  <c r="J853" i="7"/>
  <c r="K853" i="7"/>
  <c r="L853" i="7"/>
  <c r="J854" i="7"/>
  <c r="K854" i="7"/>
  <c r="L854" i="7"/>
  <c r="J855" i="7"/>
  <c r="K855" i="7"/>
  <c r="L855" i="7"/>
  <c r="J856" i="7"/>
  <c r="K856" i="7"/>
  <c r="L856" i="7"/>
  <c r="J857" i="7"/>
  <c r="K857" i="7"/>
  <c r="L857" i="7"/>
  <c r="J858" i="7"/>
  <c r="K858" i="7"/>
  <c r="L858" i="7"/>
  <c r="J859" i="7"/>
  <c r="K859" i="7"/>
  <c r="L859" i="7"/>
  <c r="J860" i="7"/>
  <c r="K860" i="7"/>
  <c r="L860" i="7"/>
  <c r="J861" i="7"/>
  <c r="K861" i="7"/>
  <c r="L861" i="7"/>
  <c r="J862" i="7"/>
  <c r="K862" i="7"/>
  <c r="L862" i="7"/>
  <c r="J863" i="7"/>
  <c r="K863" i="7"/>
  <c r="L863" i="7"/>
  <c r="J864" i="7"/>
  <c r="K864" i="7"/>
  <c r="L864" i="7"/>
  <c r="J865" i="7"/>
  <c r="K865" i="7"/>
  <c r="L865" i="7"/>
  <c r="J866" i="7"/>
  <c r="K866" i="7"/>
  <c r="L866" i="7"/>
  <c r="J867" i="7"/>
  <c r="K867" i="7"/>
  <c r="L867" i="7"/>
  <c r="J868" i="7"/>
  <c r="K868" i="7"/>
  <c r="L868" i="7"/>
  <c r="J869" i="7"/>
  <c r="K869" i="7"/>
  <c r="L869" i="7"/>
  <c r="J870" i="7"/>
  <c r="K870" i="7"/>
  <c r="L870" i="7"/>
  <c r="J871" i="7"/>
  <c r="K871" i="7"/>
  <c r="L871" i="7"/>
  <c r="J872" i="7"/>
  <c r="K872" i="7"/>
  <c r="L872" i="7"/>
  <c r="J873" i="7"/>
  <c r="K873" i="7"/>
  <c r="L873" i="7"/>
  <c r="J874" i="7"/>
  <c r="K874" i="7"/>
  <c r="L874" i="7"/>
  <c r="J875" i="7"/>
  <c r="K875" i="7"/>
  <c r="L875" i="7"/>
  <c r="J876" i="7"/>
  <c r="K876" i="7"/>
  <c r="L876" i="7"/>
  <c r="J877" i="7"/>
  <c r="K877" i="7"/>
  <c r="L877" i="7"/>
  <c r="J878" i="7"/>
  <c r="K878" i="7"/>
  <c r="L878" i="7"/>
  <c r="J879" i="7"/>
  <c r="K879" i="7"/>
  <c r="L879" i="7"/>
  <c r="J880" i="7"/>
  <c r="K880" i="7"/>
  <c r="L880" i="7"/>
  <c r="J881" i="7"/>
  <c r="K881" i="7"/>
  <c r="L881" i="7"/>
  <c r="J882" i="7"/>
  <c r="K882" i="7"/>
  <c r="L882" i="7"/>
  <c r="J883" i="7"/>
  <c r="K883" i="7"/>
  <c r="L883" i="7"/>
  <c r="J884" i="7"/>
  <c r="K884" i="7"/>
  <c r="L884" i="7"/>
  <c r="J885" i="7"/>
  <c r="K885" i="7"/>
  <c r="L885" i="7"/>
  <c r="J886" i="7"/>
  <c r="K886" i="7"/>
  <c r="L886" i="7"/>
  <c r="J887" i="7"/>
  <c r="K887" i="7"/>
  <c r="L887" i="7"/>
  <c r="J888" i="7"/>
  <c r="K888" i="7"/>
  <c r="L888" i="7"/>
  <c r="J889" i="7"/>
  <c r="K889" i="7"/>
  <c r="L889" i="7"/>
  <c r="J890" i="7"/>
  <c r="K890" i="7"/>
  <c r="L890" i="7"/>
  <c r="J891" i="7"/>
  <c r="K891" i="7"/>
  <c r="L891" i="7"/>
  <c r="J892" i="7"/>
  <c r="K892" i="7"/>
  <c r="L892" i="7"/>
  <c r="J893" i="7"/>
  <c r="K893" i="7"/>
  <c r="L893" i="7"/>
  <c r="J894" i="7"/>
  <c r="K894" i="7"/>
  <c r="L894" i="7"/>
  <c r="J895" i="7"/>
  <c r="K895" i="7"/>
  <c r="L895" i="7"/>
  <c r="J896" i="7"/>
  <c r="K896" i="7"/>
  <c r="L896" i="7"/>
  <c r="J897" i="7"/>
  <c r="K897" i="7"/>
  <c r="L897" i="7"/>
  <c r="J898" i="7"/>
  <c r="K898" i="7"/>
  <c r="L898" i="7"/>
  <c r="J899" i="7"/>
  <c r="K899" i="7"/>
  <c r="L899" i="7"/>
  <c r="J900" i="7"/>
  <c r="K900" i="7"/>
  <c r="L900" i="7"/>
  <c r="J901" i="7"/>
  <c r="K901" i="7"/>
  <c r="L901" i="7"/>
  <c r="J902" i="7"/>
  <c r="K902" i="7"/>
  <c r="L902" i="7"/>
  <c r="J903" i="7"/>
  <c r="K903" i="7"/>
  <c r="L903" i="7"/>
  <c r="J904" i="7"/>
  <c r="K904" i="7"/>
  <c r="L904" i="7"/>
  <c r="J905" i="7"/>
  <c r="K905" i="7"/>
  <c r="L905" i="7"/>
  <c r="J906" i="7"/>
  <c r="K906" i="7"/>
  <c r="L906" i="7"/>
  <c r="J907" i="7"/>
  <c r="K907" i="7"/>
  <c r="L907" i="7"/>
  <c r="J908" i="7"/>
  <c r="K908" i="7"/>
  <c r="L908" i="7"/>
  <c r="J909" i="7"/>
  <c r="K909" i="7"/>
  <c r="L909" i="7"/>
  <c r="J910" i="7"/>
  <c r="K910" i="7"/>
  <c r="L910" i="7"/>
  <c r="J911" i="7"/>
  <c r="K911" i="7"/>
  <c r="L911" i="7"/>
  <c r="J912" i="7"/>
  <c r="K912" i="7"/>
  <c r="L912" i="7"/>
  <c r="J913" i="7"/>
  <c r="K913" i="7"/>
  <c r="L913" i="7"/>
  <c r="J914" i="7"/>
  <c r="K914" i="7"/>
  <c r="L914" i="7"/>
  <c r="J915" i="7"/>
  <c r="K915" i="7"/>
  <c r="L915" i="7"/>
  <c r="J916" i="7"/>
  <c r="K916" i="7"/>
  <c r="L916" i="7"/>
  <c r="J917" i="7"/>
  <c r="K917" i="7"/>
  <c r="L917" i="7"/>
  <c r="J918" i="7"/>
  <c r="K918" i="7"/>
  <c r="L918" i="7"/>
  <c r="J919" i="7"/>
  <c r="K919" i="7"/>
  <c r="L919" i="7"/>
  <c r="J920" i="7"/>
  <c r="K920" i="7"/>
  <c r="L920" i="7"/>
  <c r="J921" i="7"/>
  <c r="K921" i="7"/>
  <c r="L921" i="7"/>
  <c r="J922" i="7"/>
  <c r="K922" i="7"/>
  <c r="L922" i="7"/>
  <c r="J923" i="7"/>
  <c r="K923" i="7"/>
  <c r="L923" i="7"/>
  <c r="J924" i="7"/>
  <c r="K924" i="7"/>
  <c r="L924" i="7"/>
  <c r="J925" i="7"/>
  <c r="K925" i="7"/>
  <c r="L925" i="7"/>
  <c r="J926" i="7"/>
  <c r="K926" i="7"/>
  <c r="L926" i="7"/>
  <c r="J927" i="7"/>
  <c r="K927" i="7"/>
  <c r="L927" i="7"/>
  <c r="J928" i="7"/>
  <c r="K928" i="7"/>
  <c r="L928" i="7"/>
  <c r="J929" i="7"/>
  <c r="K929" i="7"/>
  <c r="L929" i="7"/>
  <c r="J930" i="7"/>
  <c r="K930" i="7"/>
  <c r="L930" i="7"/>
  <c r="J931" i="7"/>
  <c r="K931" i="7"/>
  <c r="L931" i="7"/>
  <c r="J932" i="7"/>
  <c r="K932" i="7"/>
  <c r="L932" i="7"/>
  <c r="J933" i="7"/>
  <c r="K933" i="7"/>
  <c r="L933" i="7"/>
  <c r="J934" i="7"/>
  <c r="K934" i="7"/>
  <c r="L934" i="7"/>
  <c r="J935" i="7"/>
  <c r="K935" i="7"/>
  <c r="L935" i="7"/>
  <c r="J936" i="7"/>
  <c r="K936" i="7"/>
  <c r="L936" i="7"/>
  <c r="J937" i="7"/>
  <c r="K937" i="7"/>
  <c r="L937" i="7"/>
  <c r="J938" i="7"/>
  <c r="K938" i="7"/>
  <c r="L938" i="7"/>
  <c r="J939" i="7"/>
  <c r="K939" i="7"/>
  <c r="L939" i="7"/>
  <c r="J940" i="7"/>
  <c r="K940" i="7"/>
  <c r="L940" i="7"/>
  <c r="J941" i="7"/>
  <c r="K941" i="7"/>
  <c r="L941" i="7"/>
  <c r="J942" i="7"/>
  <c r="K942" i="7"/>
  <c r="L942" i="7"/>
  <c r="J943" i="7"/>
  <c r="K943" i="7"/>
  <c r="L943" i="7"/>
  <c r="J944" i="7"/>
  <c r="K944" i="7"/>
  <c r="L944" i="7"/>
  <c r="J945" i="7"/>
  <c r="K945" i="7"/>
  <c r="L945" i="7"/>
  <c r="J946" i="7"/>
  <c r="K946" i="7"/>
  <c r="L946" i="7"/>
  <c r="J947" i="7"/>
  <c r="K947" i="7"/>
  <c r="L947" i="7"/>
  <c r="J948" i="7"/>
  <c r="K948" i="7"/>
  <c r="L948" i="7"/>
  <c r="J949" i="7"/>
  <c r="K949" i="7"/>
  <c r="L949" i="7"/>
  <c r="J950" i="7"/>
  <c r="K950" i="7"/>
  <c r="L950" i="7"/>
  <c r="J951" i="7"/>
  <c r="K951" i="7"/>
  <c r="L951" i="7"/>
  <c r="J952" i="7"/>
  <c r="K952" i="7"/>
  <c r="L952" i="7"/>
  <c r="J953" i="7"/>
  <c r="K953" i="7"/>
  <c r="L953" i="7"/>
  <c r="J954" i="7"/>
  <c r="K954" i="7"/>
  <c r="L954" i="7"/>
  <c r="J955" i="7"/>
  <c r="K955" i="7"/>
  <c r="L955" i="7"/>
  <c r="J956" i="7"/>
  <c r="K956" i="7"/>
  <c r="L956" i="7"/>
  <c r="J957" i="7"/>
  <c r="K957" i="7"/>
  <c r="L957" i="7"/>
  <c r="J958" i="7"/>
  <c r="K958" i="7"/>
  <c r="L958" i="7"/>
  <c r="J959" i="7"/>
  <c r="K959" i="7"/>
  <c r="L959" i="7"/>
  <c r="J960" i="7"/>
  <c r="K960" i="7"/>
  <c r="L960" i="7"/>
  <c r="J961" i="7"/>
  <c r="K961" i="7"/>
  <c r="L961" i="7"/>
  <c r="J962" i="7"/>
  <c r="K962" i="7"/>
  <c r="L962" i="7"/>
  <c r="J963" i="7"/>
  <c r="K963" i="7"/>
  <c r="L963" i="7"/>
  <c r="J964" i="7"/>
  <c r="K964" i="7"/>
  <c r="L964" i="7"/>
  <c r="J965" i="7"/>
  <c r="K965" i="7"/>
  <c r="L965" i="7"/>
  <c r="J966" i="7"/>
  <c r="K966" i="7"/>
  <c r="L966" i="7"/>
  <c r="J967" i="7"/>
  <c r="K967" i="7"/>
  <c r="L967" i="7"/>
  <c r="J968" i="7"/>
  <c r="K968" i="7"/>
  <c r="L968" i="7"/>
  <c r="J969" i="7"/>
  <c r="K969" i="7"/>
  <c r="L969" i="7"/>
  <c r="J970" i="7"/>
  <c r="K970" i="7"/>
  <c r="L970" i="7"/>
  <c r="J971" i="7"/>
  <c r="K971" i="7"/>
  <c r="L971" i="7"/>
  <c r="J972" i="7"/>
  <c r="K972" i="7"/>
  <c r="L972" i="7"/>
  <c r="J973" i="7"/>
  <c r="K973" i="7"/>
  <c r="L973" i="7"/>
  <c r="J974" i="7"/>
  <c r="K974" i="7"/>
  <c r="L974" i="7"/>
  <c r="J975" i="7"/>
  <c r="K975" i="7"/>
  <c r="L975" i="7"/>
  <c r="J976" i="7"/>
  <c r="K976" i="7"/>
  <c r="L976" i="7"/>
  <c r="J977" i="7"/>
  <c r="K977" i="7"/>
  <c r="L977" i="7"/>
  <c r="J978" i="7"/>
  <c r="K978" i="7"/>
  <c r="L978" i="7"/>
  <c r="J979" i="7"/>
  <c r="K979" i="7"/>
  <c r="L979" i="7"/>
  <c r="J980" i="7"/>
  <c r="K980" i="7"/>
  <c r="L980" i="7"/>
  <c r="J981" i="7"/>
  <c r="K981" i="7"/>
  <c r="L981" i="7"/>
  <c r="J982" i="7"/>
  <c r="K982" i="7"/>
  <c r="L982" i="7"/>
  <c r="J983" i="7"/>
  <c r="K983" i="7"/>
  <c r="L983" i="7"/>
  <c r="J984" i="7"/>
  <c r="K984" i="7"/>
  <c r="L984" i="7"/>
  <c r="J985" i="7"/>
  <c r="K985" i="7"/>
  <c r="L985" i="7"/>
  <c r="J986" i="7"/>
  <c r="K986" i="7"/>
  <c r="L986" i="7"/>
  <c r="J987" i="7"/>
  <c r="K987" i="7"/>
  <c r="L987" i="7"/>
  <c r="J988" i="7"/>
  <c r="K988" i="7"/>
  <c r="L988" i="7"/>
  <c r="J989" i="7"/>
  <c r="K989" i="7"/>
  <c r="L989" i="7"/>
  <c r="J990" i="7"/>
  <c r="K990" i="7"/>
  <c r="L990" i="7"/>
  <c r="J991" i="7"/>
  <c r="K991" i="7"/>
  <c r="L991" i="7"/>
  <c r="J2" i="7"/>
  <c r="L2" i="7"/>
  <c r="K2" i="7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24" i="7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I188" i="7"/>
  <c r="I189" i="7"/>
  <c r="I190" i="7"/>
  <c r="I191" i="7"/>
  <c r="I192" i="7"/>
  <c r="I193" i="7"/>
  <c r="I194" i="7"/>
  <c r="I195" i="7"/>
  <c r="I196" i="7"/>
  <c r="I197" i="7"/>
  <c r="I198" i="7"/>
  <c r="I199" i="7"/>
  <c r="I200" i="7"/>
  <c r="I201" i="7"/>
  <c r="I202" i="7"/>
  <c r="I203" i="7"/>
  <c r="I204" i="7"/>
  <c r="I205" i="7"/>
  <c r="I206" i="7"/>
  <c r="I207" i="7"/>
  <c r="I208" i="7"/>
  <c r="I209" i="7"/>
  <c r="I210" i="7"/>
  <c r="I211" i="7"/>
  <c r="I212" i="7"/>
  <c r="I213" i="7"/>
  <c r="I214" i="7"/>
  <c r="I215" i="7"/>
  <c r="I216" i="7"/>
  <c r="I217" i="7"/>
  <c r="I218" i="7"/>
  <c r="I219" i="7"/>
  <c r="I220" i="7"/>
  <c r="I221" i="7"/>
  <c r="I222" i="7"/>
  <c r="I223" i="7"/>
  <c r="I224" i="7"/>
  <c r="I225" i="7"/>
  <c r="I226" i="7"/>
  <c r="I227" i="7"/>
  <c r="I228" i="7"/>
  <c r="I229" i="7"/>
  <c r="I230" i="7"/>
  <c r="I231" i="7"/>
  <c r="I232" i="7"/>
  <c r="I233" i="7"/>
  <c r="I234" i="7"/>
  <c r="I235" i="7"/>
  <c r="I236" i="7"/>
  <c r="I237" i="7"/>
  <c r="I238" i="7"/>
  <c r="I239" i="7"/>
  <c r="I240" i="7"/>
  <c r="I241" i="7"/>
  <c r="I242" i="7"/>
  <c r="I243" i="7"/>
  <c r="I244" i="7"/>
  <c r="I245" i="7"/>
  <c r="I246" i="7"/>
  <c r="I247" i="7"/>
  <c r="I248" i="7"/>
  <c r="I249" i="7"/>
  <c r="I250" i="7"/>
  <c r="I251" i="7"/>
  <c r="I252" i="7"/>
  <c r="I253" i="7"/>
  <c r="I254" i="7"/>
  <c r="I255" i="7"/>
  <c r="I256" i="7"/>
  <c r="I257" i="7"/>
  <c r="I258" i="7"/>
  <c r="I259" i="7"/>
  <c r="I260" i="7"/>
  <c r="I261" i="7"/>
  <c r="I262" i="7"/>
  <c r="I263" i="7"/>
  <c r="I264" i="7"/>
  <c r="I265" i="7"/>
  <c r="I266" i="7"/>
  <c r="I267" i="7"/>
  <c r="I268" i="7"/>
  <c r="I269" i="7"/>
  <c r="I270" i="7"/>
  <c r="I271" i="7"/>
  <c r="I272" i="7"/>
  <c r="I273" i="7"/>
  <c r="I274" i="7"/>
  <c r="I275" i="7"/>
  <c r="I276" i="7"/>
  <c r="I277" i="7"/>
  <c r="I278" i="7"/>
  <c r="I279" i="7"/>
  <c r="I280" i="7"/>
  <c r="I281" i="7"/>
  <c r="I282" i="7"/>
  <c r="I283" i="7"/>
  <c r="I284" i="7"/>
  <c r="I285" i="7"/>
  <c r="I286" i="7"/>
  <c r="I287" i="7"/>
  <c r="I288" i="7"/>
  <c r="I289" i="7"/>
  <c r="I290" i="7"/>
  <c r="I291" i="7"/>
  <c r="I292" i="7"/>
  <c r="I293" i="7"/>
  <c r="I294" i="7"/>
  <c r="I295" i="7"/>
  <c r="I296" i="7"/>
  <c r="I297" i="7"/>
  <c r="I298" i="7"/>
  <c r="I299" i="7"/>
  <c r="I300" i="7"/>
  <c r="I301" i="7"/>
  <c r="I302" i="7"/>
  <c r="I303" i="7"/>
  <c r="I304" i="7"/>
  <c r="I305" i="7"/>
  <c r="I306" i="7"/>
  <c r="I307" i="7"/>
  <c r="I308" i="7"/>
  <c r="I309" i="7"/>
  <c r="I310" i="7"/>
  <c r="I311" i="7"/>
  <c r="I312" i="7"/>
  <c r="I313" i="7"/>
  <c r="I314" i="7"/>
  <c r="I315" i="7"/>
  <c r="I316" i="7"/>
  <c r="I317" i="7"/>
  <c r="I318" i="7"/>
  <c r="I319" i="7"/>
  <c r="I320" i="7"/>
  <c r="I321" i="7"/>
  <c r="I322" i="7"/>
  <c r="I323" i="7"/>
  <c r="I324" i="7"/>
  <c r="I325" i="7"/>
  <c r="I326" i="7"/>
  <c r="I327" i="7"/>
  <c r="I328" i="7"/>
  <c r="I329" i="7"/>
  <c r="I330" i="7"/>
  <c r="I331" i="7"/>
  <c r="I332" i="7"/>
  <c r="I333" i="7"/>
  <c r="I334" i="7"/>
  <c r="I335" i="7"/>
  <c r="I336" i="7"/>
  <c r="I337" i="7"/>
  <c r="I338" i="7"/>
  <c r="I339" i="7"/>
  <c r="I340" i="7"/>
  <c r="I341" i="7"/>
  <c r="I342" i="7"/>
  <c r="I343" i="7"/>
  <c r="I344" i="7"/>
  <c r="I345" i="7"/>
  <c r="I346" i="7"/>
  <c r="I347" i="7"/>
  <c r="I348" i="7"/>
  <c r="I349" i="7"/>
  <c r="I350" i="7"/>
  <c r="I351" i="7"/>
  <c r="I352" i="7"/>
  <c r="I353" i="7"/>
  <c r="I354" i="7"/>
  <c r="I355" i="7"/>
  <c r="I356" i="7"/>
  <c r="I357" i="7"/>
  <c r="I358" i="7"/>
  <c r="I359" i="7"/>
  <c r="I360" i="7"/>
  <c r="I361" i="7"/>
  <c r="I362" i="7"/>
  <c r="I363" i="7"/>
  <c r="I364" i="7"/>
  <c r="I365" i="7"/>
  <c r="I366" i="7"/>
  <c r="I367" i="7"/>
  <c r="I368" i="7"/>
  <c r="I369" i="7"/>
  <c r="I370" i="7"/>
  <c r="I371" i="7"/>
  <c r="I372" i="7"/>
  <c r="I373" i="7"/>
  <c r="I374" i="7"/>
  <c r="I375" i="7"/>
  <c r="I376" i="7"/>
  <c r="I377" i="7"/>
  <c r="I378" i="7"/>
  <c r="I379" i="7"/>
  <c r="I380" i="7"/>
  <c r="I381" i="7"/>
  <c r="I382" i="7"/>
  <c r="I383" i="7"/>
  <c r="I384" i="7"/>
  <c r="I385" i="7"/>
  <c r="I386" i="7"/>
  <c r="I387" i="7"/>
  <c r="I388" i="7"/>
  <c r="I389" i="7"/>
  <c r="I390" i="7"/>
  <c r="I391" i="7"/>
  <c r="I392" i="7"/>
  <c r="I393" i="7"/>
  <c r="I394" i="7"/>
  <c r="I395" i="7"/>
  <c r="I396" i="7"/>
  <c r="I397" i="7"/>
  <c r="I398" i="7"/>
  <c r="I399" i="7"/>
  <c r="I400" i="7"/>
  <c r="I401" i="7"/>
  <c r="I402" i="7"/>
  <c r="I403" i="7"/>
  <c r="I404" i="7"/>
  <c r="I405" i="7"/>
  <c r="I406" i="7"/>
  <c r="I407" i="7"/>
  <c r="I408" i="7"/>
  <c r="I409" i="7"/>
  <c r="I410" i="7"/>
  <c r="I411" i="7"/>
  <c r="I412" i="7"/>
  <c r="I413" i="7"/>
  <c r="I414" i="7"/>
  <c r="I415" i="7"/>
  <c r="I416" i="7"/>
  <c r="I417" i="7"/>
  <c r="I418" i="7"/>
  <c r="I419" i="7"/>
  <c r="I420" i="7"/>
  <c r="I421" i="7"/>
  <c r="I422" i="7"/>
  <c r="I423" i="7"/>
  <c r="I424" i="7"/>
  <c r="I425" i="7"/>
  <c r="I426" i="7"/>
  <c r="I427" i="7"/>
  <c r="I428" i="7"/>
  <c r="I429" i="7"/>
  <c r="I430" i="7"/>
  <c r="I431" i="7"/>
  <c r="I432" i="7"/>
  <c r="I433" i="7"/>
  <c r="I434" i="7"/>
  <c r="I435" i="7"/>
  <c r="I436" i="7"/>
  <c r="I437" i="7"/>
  <c r="I438" i="7"/>
  <c r="I439" i="7"/>
  <c r="I440" i="7"/>
  <c r="I441" i="7"/>
  <c r="I442" i="7"/>
  <c r="I443" i="7"/>
  <c r="I444" i="7"/>
  <c r="I445" i="7"/>
  <c r="I446" i="7"/>
  <c r="I447" i="7"/>
  <c r="I448" i="7"/>
  <c r="I449" i="7"/>
  <c r="I450" i="7"/>
  <c r="I451" i="7"/>
  <c r="I452" i="7"/>
  <c r="I453" i="7"/>
  <c r="I454" i="7"/>
  <c r="I455" i="7"/>
  <c r="I456" i="7"/>
  <c r="I457" i="7"/>
  <c r="I458" i="7"/>
  <c r="I459" i="7"/>
  <c r="I460" i="7"/>
  <c r="I461" i="7"/>
  <c r="I462" i="7"/>
  <c r="I463" i="7"/>
  <c r="I464" i="7"/>
  <c r="I465" i="7"/>
  <c r="I466" i="7"/>
  <c r="I467" i="7"/>
  <c r="I468" i="7"/>
  <c r="I469" i="7"/>
  <c r="I470" i="7"/>
  <c r="I471" i="7"/>
  <c r="I472" i="7"/>
  <c r="I473" i="7"/>
  <c r="I474" i="7"/>
  <c r="I475" i="7"/>
  <c r="I476" i="7"/>
  <c r="I477" i="7"/>
  <c r="I478" i="7"/>
  <c r="I479" i="7"/>
  <c r="I480" i="7"/>
  <c r="I481" i="7"/>
  <c r="I482" i="7"/>
  <c r="I483" i="7"/>
  <c r="I484" i="7"/>
  <c r="I485" i="7"/>
  <c r="I486" i="7"/>
  <c r="I487" i="7"/>
  <c r="I488" i="7"/>
  <c r="I489" i="7"/>
  <c r="I490" i="7"/>
  <c r="I491" i="7"/>
  <c r="I492" i="7"/>
  <c r="I493" i="7"/>
  <c r="I494" i="7"/>
  <c r="I495" i="7"/>
  <c r="I496" i="7"/>
  <c r="I497" i="7"/>
  <c r="I498" i="7"/>
  <c r="I499" i="7"/>
  <c r="I500" i="7"/>
  <c r="I501" i="7"/>
  <c r="I502" i="7"/>
  <c r="I503" i="7"/>
  <c r="I504" i="7"/>
  <c r="I505" i="7"/>
  <c r="I506" i="7"/>
  <c r="I507" i="7"/>
  <c r="I508" i="7"/>
  <c r="I509" i="7"/>
  <c r="I510" i="7"/>
  <c r="I511" i="7"/>
  <c r="I512" i="7"/>
  <c r="I513" i="7"/>
  <c r="I514" i="7"/>
  <c r="I515" i="7"/>
  <c r="I516" i="7"/>
  <c r="I517" i="7"/>
  <c r="I518" i="7"/>
  <c r="I519" i="7"/>
  <c r="I520" i="7"/>
  <c r="I521" i="7"/>
  <c r="I522" i="7"/>
  <c r="I523" i="7"/>
  <c r="I524" i="7"/>
  <c r="I525" i="7"/>
  <c r="I526" i="7"/>
  <c r="I527" i="7"/>
  <c r="I528" i="7"/>
  <c r="I529" i="7"/>
  <c r="I530" i="7"/>
  <c r="I531" i="7"/>
  <c r="I532" i="7"/>
  <c r="I533" i="7"/>
  <c r="I534" i="7"/>
  <c r="I535" i="7"/>
  <c r="I536" i="7"/>
  <c r="I537" i="7"/>
  <c r="I538" i="7"/>
  <c r="I539" i="7"/>
  <c r="I540" i="7"/>
  <c r="I541" i="7"/>
  <c r="I542" i="7"/>
  <c r="I543" i="7"/>
  <c r="I544" i="7"/>
  <c r="I545" i="7"/>
  <c r="I546" i="7"/>
  <c r="I547" i="7"/>
  <c r="I548" i="7"/>
  <c r="I549" i="7"/>
  <c r="I550" i="7"/>
  <c r="I551" i="7"/>
  <c r="I552" i="7"/>
  <c r="I553" i="7"/>
  <c r="I554" i="7"/>
  <c r="I555" i="7"/>
  <c r="I556" i="7"/>
  <c r="I557" i="7"/>
  <c r="I558" i="7"/>
  <c r="I559" i="7"/>
  <c r="I560" i="7"/>
  <c r="I561" i="7"/>
  <c r="I562" i="7"/>
  <c r="I563" i="7"/>
  <c r="I564" i="7"/>
  <c r="I565" i="7"/>
  <c r="I566" i="7"/>
  <c r="I567" i="7"/>
  <c r="I568" i="7"/>
  <c r="I569" i="7"/>
  <c r="I570" i="7"/>
  <c r="I571" i="7"/>
  <c r="I572" i="7"/>
  <c r="I573" i="7"/>
  <c r="I574" i="7"/>
  <c r="I575" i="7"/>
  <c r="I576" i="7"/>
  <c r="I577" i="7"/>
  <c r="I578" i="7"/>
  <c r="I579" i="7"/>
  <c r="I580" i="7"/>
  <c r="I581" i="7"/>
  <c r="I582" i="7"/>
  <c r="I583" i="7"/>
  <c r="I584" i="7"/>
  <c r="I585" i="7"/>
  <c r="I586" i="7"/>
  <c r="I587" i="7"/>
  <c r="I588" i="7"/>
  <c r="I589" i="7"/>
  <c r="I590" i="7"/>
  <c r="I591" i="7"/>
  <c r="I592" i="7"/>
  <c r="I593" i="7"/>
  <c r="I594" i="7"/>
  <c r="I595" i="7"/>
  <c r="I596" i="7"/>
  <c r="I597" i="7"/>
  <c r="I598" i="7"/>
  <c r="I599" i="7"/>
  <c r="I600" i="7"/>
  <c r="I601" i="7"/>
  <c r="I602" i="7"/>
  <c r="I603" i="7"/>
  <c r="I604" i="7"/>
  <c r="I605" i="7"/>
  <c r="I606" i="7"/>
  <c r="I607" i="7"/>
  <c r="I608" i="7"/>
  <c r="I609" i="7"/>
  <c r="I610" i="7"/>
  <c r="I611" i="7"/>
  <c r="I612" i="7"/>
  <c r="I613" i="7"/>
  <c r="I614" i="7"/>
  <c r="I615" i="7"/>
  <c r="I616" i="7"/>
  <c r="I617" i="7"/>
  <c r="I618" i="7"/>
  <c r="I619" i="7"/>
  <c r="I620" i="7"/>
  <c r="I621" i="7"/>
  <c r="I622" i="7"/>
  <c r="I623" i="7"/>
  <c r="I624" i="7"/>
  <c r="I625" i="7"/>
  <c r="I626" i="7"/>
  <c r="I627" i="7"/>
  <c r="I628" i="7"/>
  <c r="I629" i="7"/>
  <c r="I630" i="7"/>
  <c r="I631" i="7"/>
  <c r="I632" i="7"/>
  <c r="I633" i="7"/>
  <c r="I634" i="7"/>
  <c r="I635" i="7"/>
  <c r="I636" i="7"/>
  <c r="I637" i="7"/>
  <c r="I638" i="7"/>
  <c r="I639" i="7"/>
  <c r="I640" i="7"/>
  <c r="I641" i="7"/>
  <c r="I642" i="7"/>
  <c r="I643" i="7"/>
  <c r="I644" i="7"/>
  <c r="I645" i="7"/>
  <c r="I646" i="7"/>
  <c r="I647" i="7"/>
  <c r="I648" i="7"/>
  <c r="I649" i="7"/>
  <c r="I650" i="7"/>
  <c r="I651" i="7"/>
  <c r="I652" i="7"/>
  <c r="I653" i="7"/>
  <c r="I654" i="7"/>
  <c r="I655" i="7"/>
  <c r="I656" i="7"/>
  <c r="I657" i="7"/>
  <c r="I658" i="7"/>
  <c r="I659" i="7"/>
  <c r="I660" i="7"/>
  <c r="I661" i="7"/>
  <c r="I662" i="7"/>
  <c r="I663" i="7"/>
  <c r="I664" i="7"/>
  <c r="I665" i="7"/>
  <c r="I666" i="7"/>
  <c r="I667" i="7"/>
  <c r="I668" i="7"/>
  <c r="I669" i="7"/>
  <c r="I670" i="7"/>
  <c r="I671" i="7"/>
  <c r="I672" i="7"/>
  <c r="I673" i="7"/>
  <c r="I674" i="7"/>
  <c r="I675" i="7"/>
  <c r="I676" i="7"/>
  <c r="I677" i="7"/>
  <c r="I678" i="7"/>
  <c r="I679" i="7"/>
  <c r="I680" i="7"/>
  <c r="I681" i="7"/>
  <c r="I682" i="7"/>
  <c r="I683" i="7"/>
  <c r="I684" i="7"/>
  <c r="I685" i="7"/>
  <c r="I686" i="7"/>
  <c r="I687" i="7"/>
  <c r="I688" i="7"/>
  <c r="I689" i="7"/>
  <c r="I690" i="7"/>
  <c r="I691" i="7"/>
  <c r="I692" i="7"/>
  <c r="I693" i="7"/>
  <c r="I694" i="7"/>
  <c r="I695" i="7"/>
  <c r="I696" i="7"/>
  <c r="I697" i="7"/>
  <c r="I698" i="7"/>
  <c r="I699" i="7"/>
  <c r="I700" i="7"/>
  <c r="I701" i="7"/>
  <c r="I702" i="7"/>
  <c r="I703" i="7"/>
  <c r="I704" i="7"/>
  <c r="I705" i="7"/>
  <c r="I706" i="7"/>
  <c r="I707" i="7"/>
  <c r="I708" i="7"/>
  <c r="I709" i="7"/>
  <c r="I710" i="7"/>
  <c r="I711" i="7"/>
  <c r="I712" i="7"/>
  <c r="I713" i="7"/>
  <c r="I714" i="7"/>
  <c r="I715" i="7"/>
  <c r="I716" i="7"/>
  <c r="I717" i="7"/>
  <c r="I718" i="7"/>
  <c r="I719" i="7"/>
  <c r="I720" i="7"/>
  <c r="I721" i="7"/>
  <c r="I722" i="7"/>
  <c r="I723" i="7"/>
  <c r="I724" i="7"/>
  <c r="I725" i="7"/>
  <c r="I726" i="7"/>
  <c r="I727" i="7"/>
  <c r="I728" i="7"/>
  <c r="I729" i="7"/>
  <c r="I730" i="7"/>
  <c r="I731" i="7"/>
  <c r="I732" i="7"/>
  <c r="I733" i="7"/>
  <c r="I734" i="7"/>
  <c r="I735" i="7"/>
  <c r="I736" i="7"/>
  <c r="I737" i="7"/>
  <c r="I738" i="7"/>
  <c r="I739" i="7"/>
  <c r="I740" i="7"/>
  <c r="I741" i="7"/>
  <c r="I742" i="7"/>
  <c r="I743" i="7"/>
  <c r="I744" i="7"/>
  <c r="I745" i="7"/>
  <c r="I746" i="7"/>
  <c r="I747" i="7"/>
  <c r="I748" i="7"/>
  <c r="I749" i="7"/>
  <c r="I750" i="7"/>
  <c r="I751" i="7"/>
  <c r="I752" i="7"/>
  <c r="I753" i="7"/>
  <c r="I754" i="7"/>
  <c r="I755" i="7"/>
  <c r="I756" i="7"/>
  <c r="I757" i="7"/>
  <c r="I758" i="7"/>
  <c r="I759" i="7"/>
  <c r="I760" i="7"/>
  <c r="I761" i="7"/>
  <c r="I762" i="7"/>
  <c r="I763" i="7"/>
  <c r="I764" i="7"/>
  <c r="I765" i="7"/>
  <c r="I766" i="7"/>
  <c r="I767" i="7"/>
  <c r="I768" i="7"/>
  <c r="I769" i="7"/>
  <c r="I770" i="7"/>
  <c r="I771" i="7"/>
  <c r="I772" i="7"/>
  <c r="I773" i="7"/>
  <c r="I774" i="7"/>
  <c r="I775" i="7"/>
  <c r="I776" i="7"/>
  <c r="I777" i="7"/>
  <c r="I778" i="7"/>
  <c r="I779" i="7"/>
  <c r="I780" i="7"/>
  <c r="I781" i="7"/>
  <c r="I782" i="7"/>
  <c r="I783" i="7"/>
  <c r="I784" i="7"/>
  <c r="I785" i="7"/>
  <c r="I786" i="7"/>
  <c r="I787" i="7"/>
  <c r="I788" i="7"/>
  <c r="I789" i="7"/>
  <c r="I790" i="7"/>
  <c r="I791" i="7"/>
  <c r="I792" i="7"/>
  <c r="I793" i="7"/>
  <c r="I794" i="7"/>
  <c r="I795" i="7"/>
  <c r="I796" i="7"/>
  <c r="I797" i="7"/>
  <c r="I798" i="7"/>
  <c r="I799" i="7"/>
  <c r="I800" i="7"/>
  <c r="I801" i="7"/>
  <c r="I802" i="7"/>
  <c r="I803" i="7"/>
  <c r="I804" i="7"/>
  <c r="I805" i="7"/>
  <c r="I806" i="7"/>
  <c r="I807" i="7"/>
  <c r="I808" i="7"/>
  <c r="I809" i="7"/>
  <c r="I810" i="7"/>
  <c r="I811" i="7"/>
  <c r="I812" i="7"/>
  <c r="I813" i="7"/>
  <c r="I814" i="7"/>
  <c r="I815" i="7"/>
  <c r="I816" i="7"/>
  <c r="I817" i="7"/>
  <c r="I818" i="7"/>
  <c r="I819" i="7"/>
  <c r="I820" i="7"/>
  <c r="I821" i="7"/>
  <c r="I822" i="7"/>
  <c r="I823" i="7"/>
  <c r="I824" i="7"/>
  <c r="I825" i="7"/>
  <c r="I826" i="7"/>
  <c r="I827" i="7"/>
  <c r="I828" i="7"/>
  <c r="I829" i="7"/>
  <c r="I830" i="7"/>
  <c r="I831" i="7"/>
  <c r="I832" i="7"/>
  <c r="I833" i="7"/>
  <c r="I834" i="7"/>
  <c r="I835" i="7"/>
  <c r="I836" i="7"/>
  <c r="I837" i="7"/>
  <c r="I838" i="7"/>
  <c r="I839" i="7"/>
  <c r="I840" i="7"/>
  <c r="I841" i="7"/>
  <c r="I842" i="7"/>
  <c r="I843" i="7"/>
  <c r="I844" i="7"/>
  <c r="I845" i="7"/>
  <c r="I846" i="7"/>
  <c r="I847" i="7"/>
  <c r="I848" i="7"/>
  <c r="I849" i="7"/>
  <c r="I850" i="7"/>
  <c r="I851" i="7"/>
  <c r="I852" i="7"/>
  <c r="I853" i="7"/>
  <c r="I854" i="7"/>
  <c r="I855" i="7"/>
  <c r="I856" i="7"/>
  <c r="I857" i="7"/>
  <c r="I858" i="7"/>
  <c r="I859" i="7"/>
  <c r="I860" i="7"/>
  <c r="I861" i="7"/>
  <c r="I862" i="7"/>
  <c r="I863" i="7"/>
  <c r="I864" i="7"/>
  <c r="I865" i="7"/>
  <c r="I866" i="7"/>
  <c r="I867" i="7"/>
  <c r="I868" i="7"/>
  <c r="I869" i="7"/>
  <c r="I870" i="7"/>
  <c r="I871" i="7"/>
  <c r="I872" i="7"/>
  <c r="I873" i="7"/>
  <c r="I874" i="7"/>
  <c r="I875" i="7"/>
  <c r="I876" i="7"/>
  <c r="I877" i="7"/>
  <c r="I878" i="7"/>
  <c r="I879" i="7"/>
  <c r="I880" i="7"/>
  <c r="I881" i="7"/>
  <c r="I882" i="7"/>
  <c r="I883" i="7"/>
  <c r="I884" i="7"/>
  <c r="I885" i="7"/>
  <c r="I886" i="7"/>
  <c r="I887" i="7"/>
  <c r="I888" i="7"/>
  <c r="I889" i="7"/>
  <c r="I890" i="7"/>
  <c r="I891" i="7"/>
  <c r="I892" i="7"/>
  <c r="I893" i="7"/>
  <c r="I894" i="7"/>
  <c r="I895" i="7"/>
  <c r="I896" i="7"/>
  <c r="I897" i="7"/>
  <c r="I898" i="7"/>
  <c r="I899" i="7"/>
  <c r="I900" i="7"/>
  <c r="I901" i="7"/>
  <c r="I902" i="7"/>
  <c r="I903" i="7"/>
  <c r="I904" i="7"/>
  <c r="I905" i="7"/>
  <c r="I906" i="7"/>
  <c r="I907" i="7"/>
  <c r="I908" i="7"/>
  <c r="I909" i="7"/>
  <c r="I910" i="7"/>
  <c r="I911" i="7"/>
  <c r="I912" i="7"/>
  <c r="I913" i="7"/>
  <c r="I914" i="7"/>
  <c r="I915" i="7"/>
  <c r="I916" i="7"/>
  <c r="I917" i="7"/>
  <c r="I918" i="7"/>
  <c r="I919" i="7"/>
  <c r="I920" i="7"/>
  <c r="I921" i="7"/>
  <c r="I922" i="7"/>
  <c r="I923" i="7"/>
  <c r="I924" i="7"/>
  <c r="I925" i="7"/>
  <c r="I926" i="7"/>
  <c r="I927" i="7"/>
  <c r="I928" i="7"/>
  <c r="I929" i="7"/>
  <c r="I930" i="7"/>
  <c r="I931" i="7"/>
  <c r="I932" i="7"/>
  <c r="I933" i="7"/>
  <c r="I934" i="7"/>
  <c r="I935" i="7"/>
  <c r="I936" i="7"/>
  <c r="I937" i="7"/>
  <c r="I938" i="7"/>
  <c r="I939" i="7"/>
  <c r="I940" i="7"/>
  <c r="I941" i="7"/>
  <c r="I942" i="7"/>
  <c r="I943" i="7"/>
  <c r="I944" i="7"/>
  <c r="I945" i="7"/>
  <c r="I946" i="7"/>
  <c r="I947" i="7"/>
  <c r="I948" i="7"/>
  <c r="I949" i="7"/>
  <c r="I950" i="7"/>
  <c r="I951" i="7"/>
  <c r="I952" i="7"/>
  <c r="I953" i="7"/>
  <c r="I954" i="7"/>
  <c r="I955" i="7"/>
  <c r="I956" i="7"/>
  <c r="I957" i="7"/>
  <c r="I958" i="7"/>
  <c r="I959" i="7"/>
  <c r="I960" i="7"/>
  <c r="I961" i="7"/>
  <c r="I962" i="7"/>
  <c r="I963" i="7"/>
  <c r="I964" i="7"/>
  <c r="I965" i="7"/>
  <c r="I966" i="7"/>
  <c r="I967" i="7"/>
  <c r="I968" i="7"/>
  <c r="I969" i="7"/>
  <c r="I970" i="7"/>
  <c r="I971" i="7"/>
  <c r="I972" i="7"/>
  <c r="I973" i="7"/>
  <c r="I974" i="7"/>
  <c r="I975" i="7"/>
  <c r="I976" i="7"/>
  <c r="I977" i="7"/>
  <c r="I978" i="7"/>
  <c r="I979" i="7"/>
  <c r="I980" i="7"/>
  <c r="I981" i="7"/>
  <c r="I982" i="7"/>
  <c r="I983" i="7"/>
  <c r="I984" i="7"/>
  <c r="I985" i="7"/>
  <c r="I986" i="7"/>
  <c r="I987" i="7"/>
  <c r="I988" i="7"/>
  <c r="I989" i="7"/>
  <c r="I990" i="7"/>
  <c r="I991" i="7"/>
  <c r="I2" i="7"/>
  <c r="O3" i="1" l="1"/>
  <c r="O17" i="1"/>
  <c r="N17" i="1"/>
  <c r="M17" i="1"/>
  <c r="L17" i="1"/>
  <c r="K17" i="1"/>
  <c r="J17" i="1"/>
  <c r="I17" i="1"/>
  <c r="F17" i="1"/>
  <c r="C17" i="1"/>
  <c r="K6" i="1" l="1"/>
  <c r="H6" i="1"/>
  <c r="H17" i="1" s="1"/>
  <c r="E6" i="1"/>
  <c r="G17" i="1" s="1"/>
  <c r="D6" i="1"/>
  <c r="J4" i="2" a="1"/>
  <c r="J4" i="2" s="1"/>
  <c r="J5" i="2" a="1"/>
  <c r="J5" i="2" s="1"/>
  <c r="J6" i="2" a="1"/>
  <c r="J6" i="2" s="1"/>
  <c r="J7" i="2" a="1"/>
  <c r="J7" i="2" s="1"/>
  <c r="J8" i="2" a="1"/>
  <c r="J8" i="2" s="1"/>
  <c r="J9" i="2" a="1"/>
  <c r="J9" i="2" s="1"/>
  <c r="J10" i="2" a="1"/>
  <c r="J10" i="2" s="1"/>
  <c r="J11" i="2" a="1"/>
  <c r="J11" i="2" s="1"/>
  <c r="J12" i="2" a="1"/>
  <c r="J12" i="2" s="1"/>
  <c r="J13" i="2" a="1"/>
  <c r="J13" i="2" s="1"/>
  <c r="J14" i="2" a="1"/>
  <c r="J14" i="2" s="1"/>
  <c r="J15" i="2" a="1"/>
  <c r="J15" i="2" s="1"/>
  <c r="J16" i="2" a="1"/>
  <c r="J16" i="2" s="1"/>
  <c r="J17" i="2" a="1"/>
  <c r="J17" i="2" s="1"/>
  <c r="J18" i="2" a="1"/>
  <c r="J18" i="2" s="1"/>
  <c r="J19" i="2" a="1"/>
  <c r="J19" i="2" s="1"/>
  <c r="J20" i="2" a="1"/>
  <c r="J20" i="2" s="1"/>
  <c r="J21" i="2" a="1"/>
  <c r="J21" i="2" s="1"/>
  <c r="J22" i="2" a="1"/>
  <c r="J22" i="2" s="1"/>
  <c r="J23" i="2" a="1"/>
  <c r="J23" i="2" s="1"/>
  <c r="J24" i="2" a="1"/>
  <c r="J24" i="2" s="1"/>
  <c r="J25" i="2" a="1"/>
  <c r="J25" i="2" s="1"/>
  <c r="J26" i="2" a="1"/>
  <c r="J26" i="2" s="1"/>
  <c r="J27" i="2" a="1"/>
  <c r="J27" i="2" s="1"/>
  <c r="J28" i="2" a="1"/>
  <c r="J28" i="2" s="1"/>
  <c r="J29" i="2" a="1"/>
  <c r="J29" i="2" s="1"/>
  <c r="J30" i="2" a="1"/>
  <c r="J30" i="2" s="1"/>
  <c r="J31" i="2" a="1"/>
  <c r="J31" i="2" s="1"/>
  <c r="J32" i="2" a="1"/>
  <c r="J32" i="2" s="1"/>
  <c r="J33" i="2" a="1"/>
  <c r="J33" i="2" s="1"/>
  <c r="J34" i="2" a="1"/>
  <c r="J34" i="2" s="1"/>
  <c r="J35" i="2" a="1"/>
  <c r="J35" i="2" s="1"/>
  <c r="J36" i="2" a="1"/>
  <c r="J36" i="2" s="1"/>
  <c r="J37" i="2" a="1"/>
  <c r="J37" i="2" s="1"/>
  <c r="J38" i="2" a="1"/>
  <c r="J38" i="2" s="1"/>
  <c r="J39" i="2" a="1"/>
  <c r="J39" i="2" s="1"/>
  <c r="J40" i="2" a="1"/>
  <c r="J40" i="2" s="1"/>
  <c r="J41" i="2" a="1"/>
  <c r="J41" i="2" s="1"/>
  <c r="J42" i="2" a="1"/>
  <c r="J42" i="2" s="1"/>
  <c r="J43" i="2" a="1"/>
  <c r="J43" i="2" s="1"/>
  <c r="J44" i="2" a="1"/>
  <c r="J44" i="2" s="1"/>
  <c r="J45" i="2" a="1"/>
  <c r="J45" i="2" s="1"/>
  <c r="J46" i="2" a="1"/>
  <c r="J46" i="2" s="1"/>
  <c r="J47" i="2" a="1"/>
  <c r="J47" i="2" s="1"/>
  <c r="J48" i="2" a="1"/>
  <c r="J48" i="2" s="1"/>
  <c r="J49" i="2" a="1"/>
  <c r="J49" i="2" s="1"/>
  <c r="J50" i="2" a="1"/>
  <c r="J50" i="2" s="1"/>
  <c r="J51" i="2" a="1"/>
  <c r="J51" i="2" s="1"/>
  <c r="J52" i="2" a="1"/>
  <c r="J52" i="2" s="1"/>
  <c r="J53" i="2" a="1"/>
  <c r="J53" i="2" s="1"/>
  <c r="J54" i="2" a="1"/>
  <c r="J54" i="2" s="1"/>
  <c r="J55" i="2" a="1"/>
  <c r="J55" i="2" s="1"/>
  <c r="J56" i="2" a="1"/>
  <c r="J56" i="2" s="1"/>
  <c r="J57" i="2" a="1"/>
  <c r="J57" i="2" s="1"/>
  <c r="J58" i="2" a="1"/>
  <c r="J58" i="2" s="1"/>
  <c r="J59" i="2" a="1"/>
  <c r="J59" i="2" s="1"/>
  <c r="J60" i="2" a="1"/>
  <c r="J60" i="2" s="1"/>
  <c r="J61" i="2" a="1"/>
  <c r="J61" i="2" s="1"/>
  <c r="J62" i="2" a="1"/>
  <c r="J62" i="2" s="1"/>
  <c r="J63" i="2" a="1"/>
  <c r="J63" i="2" s="1"/>
  <c r="J64" i="2" a="1"/>
  <c r="J64" i="2" s="1"/>
  <c r="J65" i="2" a="1"/>
  <c r="J65" i="2" s="1"/>
  <c r="J66" i="2" a="1"/>
  <c r="J66" i="2" s="1"/>
  <c r="J67" i="2" a="1"/>
  <c r="J67" i="2" s="1"/>
  <c r="J68" i="2" a="1"/>
  <c r="J68" i="2" s="1"/>
  <c r="J69" i="2" a="1"/>
  <c r="J69" i="2" s="1"/>
  <c r="J70" i="2" a="1"/>
  <c r="J70" i="2" s="1"/>
  <c r="J71" i="2" a="1"/>
  <c r="J71" i="2" s="1"/>
  <c r="J72" i="2" a="1"/>
  <c r="J72" i="2" s="1"/>
  <c r="J73" i="2" a="1"/>
  <c r="J73" i="2" s="1"/>
  <c r="J74" i="2" a="1"/>
  <c r="J74" i="2" s="1"/>
  <c r="J75" i="2" a="1"/>
  <c r="J75" i="2" s="1"/>
  <c r="J76" i="2" a="1"/>
  <c r="J76" i="2" s="1"/>
  <c r="J77" i="2" a="1"/>
  <c r="J77" i="2" s="1"/>
  <c r="J78" i="2" a="1"/>
  <c r="J78" i="2" s="1"/>
  <c r="J79" i="2" a="1"/>
  <c r="J79" i="2" s="1"/>
  <c r="J80" i="2" a="1"/>
  <c r="J80" i="2" s="1"/>
  <c r="J81" i="2" a="1"/>
  <c r="J81" i="2" s="1"/>
  <c r="J82" i="2" a="1"/>
  <c r="J82" i="2" s="1"/>
  <c r="J83" i="2" a="1"/>
  <c r="J83" i="2" s="1"/>
  <c r="J84" i="2" a="1"/>
  <c r="J84" i="2" s="1"/>
  <c r="J85" i="2" a="1"/>
  <c r="J85" i="2" s="1"/>
  <c r="J86" i="2" a="1"/>
  <c r="J86" i="2" s="1"/>
  <c r="J87" i="2" a="1"/>
  <c r="J87" i="2" s="1"/>
  <c r="J88" i="2" a="1"/>
  <c r="J88" i="2" s="1"/>
  <c r="J89" i="2" a="1"/>
  <c r="J89" i="2" s="1"/>
  <c r="J90" i="2" a="1"/>
  <c r="J90" i="2" s="1"/>
  <c r="J91" i="2" a="1"/>
  <c r="J91" i="2" s="1"/>
  <c r="J92" i="2" a="1"/>
  <c r="J92" i="2" s="1"/>
  <c r="J93" i="2" a="1"/>
  <c r="J93" i="2" s="1"/>
  <c r="J94" i="2" a="1"/>
  <c r="J94" i="2" s="1"/>
  <c r="J95" i="2" a="1"/>
  <c r="J95" i="2" s="1"/>
  <c r="J96" i="2" a="1"/>
  <c r="J96" i="2" s="1"/>
  <c r="J97" i="2" a="1"/>
  <c r="J97" i="2" s="1"/>
  <c r="J98" i="2" a="1"/>
  <c r="J98" i="2" s="1"/>
  <c r="J99" i="2" a="1"/>
  <c r="J99" i="2" s="1"/>
  <c r="J100" i="2" a="1"/>
  <c r="J100" i="2" s="1"/>
  <c r="J101" i="2" a="1"/>
  <c r="J101" i="2" s="1"/>
  <c r="J102" i="2" a="1"/>
  <c r="J102" i="2" s="1"/>
  <c r="J103" i="2" a="1"/>
  <c r="J103" i="2" s="1"/>
  <c r="J104" i="2" a="1"/>
  <c r="J104" i="2" s="1"/>
  <c r="J105" i="2" a="1"/>
  <c r="J105" i="2" s="1"/>
  <c r="J106" i="2" a="1"/>
  <c r="J106" i="2" s="1"/>
  <c r="J107" i="2" a="1"/>
  <c r="J107" i="2" s="1"/>
  <c r="J108" i="2" a="1"/>
  <c r="J108" i="2" s="1"/>
  <c r="J109" i="2" a="1"/>
  <c r="J109" i="2" s="1"/>
  <c r="J110" i="2" a="1"/>
  <c r="J110" i="2" s="1"/>
  <c r="J111" i="2" a="1"/>
  <c r="J111" i="2" s="1"/>
  <c r="J112" i="2" a="1"/>
  <c r="J112" i="2" s="1"/>
  <c r="J113" i="2" a="1"/>
  <c r="J113" i="2" s="1"/>
  <c r="J114" i="2" a="1"/>
  <c r="J114" i="2" s="1"/>
  <c r="J115" i="2" a="1"/>
  <c r="J115" i="2" s="1"/>
  <c r="J116" i="2" a="1"/>
  <c r="J116" i="2" s="1"/>
  <c r="J117" i="2" a="1"/>
  <c r="J117" i="2" s="1"/>
  <c r="J118" i="2" a="1"/>
  <c r="J118" i="2" s="1"/>
  <c r="J119" i="2" a="1"/>
  <c r="J119" i="2" s="1"/>
  <c r="J120" i="2" a="1"/>
  <c r="J120" i="2" s="1"/>
  <c r="J121" i="2" a="1"/>
  <c r="J121" i="2" s="1"/>
  <c r="J122" i="2" a="1"/>
  <c r="J122" i="2" s="1"/>
  <c r="J123" i="2" a="1"/>
  <c r="J123" i="2" s="1"/>
  <c r="J124" i="2" a="1"/>
  <c r="J124" i="2" s="1"/>
  <c r="J125" i="2" a="1"/>
  <c r="J125" i="2" s="1"/>
  <c r="J126" i="2" a="1"/>
  <c r="J126" i="2" s="1"/>
  <c r="J127" i="2" a="1"/>
  <c r="J127" i="2" s="1"/>
  <c r="J128" i="2" a="1"/>
  <c r="J128" i="2" s="1"/>
  <c r="J129" i="2" a="1"/>
  <c r="J129" i="2" s="1"/>
  <c r="J130" i="2" a="1"/>
  <c r="J130" i="2" s="1"/>
  <c r="J131" i="2" a="1"/>
  <c r="J131" i="2" s="1"/>
  <c r="J132" i="2" a="1"/>
  <c r="J132" i="2" s="1"/>
  <c r="J133" i="2" a="1"/>
  <c r="J133" i="2" s="1"/>
  <c r="J134" i="2" a="1"/>
  <c r="J134" i="2" s="1"/>
  <c r="J135" i="2" a="1"/>
  <c r="J135" i="2" s="1"/>
  <c r="J136" i="2" a="1"/>
  <c r="J136" i="2" s="1"/>
  <c r="J137" i="2" a="1"/>
  <c r="J137" i="2" s="1"/>
  <c r="J138" i="2" a="1"/>
  <c r="J138" i="2" s="1"/>
  <c r="J139" i="2" a="1"/>
  <c r="J139" i="2" s="1"/>
  <c r="J140" i="2" a="1"/>
  <c r="J140" i="2" s="1"/>
  <c r="J141" i="2" a="1"/>
  <c r="J141" i="2" s="1"/>
  <c r="J142" i="2" a="1"/>
  <c r="J142" i="2" s="1"/>
  <c r="J143" i="2" a="1"/>
  <c r="J143" i="2" s="1"/>
  <c r="J144" i="2" a="1"/>
  <c r="J144" i="2" s="1"/>
  <c r="J145" i="2" a="1"/>
  <c r="J145" i="2" s="1"/>
  <c r="J146" i="2" a="1"/>
  <c r="J146" i="2" s="1"/>
  <c r="J147" i="2" a="1"/>
  <c r="J147" i="2" s="1"/>
  <c r="J148" i="2" a="1"/>
  <c r="J148" i="2" s="1"/>
  <c r="J149" i="2" a="1"/>
  <c r="J149" i="2" s="1"/>
  <c r="J150" i="2" a="1"/>
  <c r="J150" i="2" s="1"/>
  <c r="J151" i="2" a="1"/>
  <c r="J151" i="2" s="1"/>
  <c r="J152" i="2" a="1"/>
  <c r="J152" i="2" s="1"/>
  <c r="J153" i="2" a="1"/>
  <c r="J153" i="2" s="1"/>
  <c r="J154" i="2" a="1"/>
  <c r="J154" i="2" s="1"/>
  <c r="J155" i="2" a="1"/>
  <c r="J155" i="2" s="1"/>
  <c r="J156" i="2" a="1"/>
  <c r="J156" i="2" s="1"/>
  <c r="J157" i="2" a="1"/>
  <c r="J157" i="2" s="1"/>
  <c r="J158" i="2" a="1"/>
  <c r="J158" i="2" s="1"/>
  <c r="J159" i="2" a="1"/>
  <c r="J159" i="2" s="1"/>
  <c r="J160" i="2" a="1"/>
  <c r="J160" i="2" s="1"/>
  <c r="J161" i="2" a="1"/>
  <c r="J161" i="2" s="1"/>
  <c r="J162" i="2" a="1"/>
  <c r="J162" i="2" s="1"/>
  <c r="J163" i="2" a="1"/>
  <c r="J163" i="2" s="1"/>
  <c r="J164" i="2" a="1"/>
  <c r="J164" i="2" s="1"/>
  <c r="J165" i="2" a="1"/>
  <c r="J165" i="2" s="1"/>
  <c r="J166" i="2" a="1"/>
  <c r="J166" i="2" s="1"/>
  <c r="J167" i="2" a="1"/>
  <c r="J167" i="2" s="1"/>
  <c r="J168" i="2" a="1"/>
  <c r="J168" i="2" s="1"/>
  <c r="J169" i="2" a="1"/>
  <c r="J169" i="2" s="1"/>
  <c r="J170" i="2" a="1"/>
  <c r="J170" i="2" s="1"/>
  <c r="J171" i="2" a="1"/>
  <c r="J171" i="2" s="1"/>
  <c r="J172" i="2" a="1"/>
  <c r="J172" i="2" s="1"/>
  <c r="J173" i="2" a="1"/>
  <c r="J173" i="2" s="1"/>
  <c r="J174" i="2" a="1"/>
  <c r="J174" i="2" s="1"/>
  <c r="J175" i="2" a="1"/>
  <c r="J175" i="2" s="1"/>
  <c r="J176" i="2" a="1"/>
  <c r="J176" i="2" s="1"/>
  <c r="J177" i="2" a="1"/>
  <c r="J177" i="2" s="1"/>
  <c r="J178" i="2" a="1"/>
  <c r="J178" i="2" s="1"/>
  <c r="J179" i="2" a="1"/>
  <c r="J179" i="2" s="1"/>
  <c r="J180" i="2" a="1"/>
  <c r="J180" i="2" s="1"/>
  <c r="J181" i="2" a="1"/>
  <c r="J181" i="2" s="1"/>
  <c r="J182" i="2" a="1"/>
  <c r="J182" i="2" s="1"/>
  <c r="J183" i="2" a="1"/>
  <c r="J183" i="2" s="1"/>
  <c r="J184" i="2" a="1"/>
  <c r="J184" i="2" s="1"/>
  <c r="J185" i="2" a="1"/>
  <c r="J185" i="2" s="1"/>
  <c r="J186" i="2" a="1"/>
  <c r="J186" i="2" s="1"/>
  <c r="J187" i="2" a="1"/>
  <c r="J187" i="2" s="1"/>
  <c r="J188" i="2" a="1"/>
  <c r="J188" i="2" s="1"/>
  <c r="J189" i="2" a="1"/>
  <c r="J189" i="2" s="1"/>
  <c r="J190" i="2" a="1"/>
  <c r="J190" i="2" s="1"/>
  <c r="J191" i="2" a="1"/>
  <c r="J191" i="2" s="1"/>
  <c r="J192" i="2" a="1"/>
  <c r="J192" i="2" s="1"/>
  <c r="J193" i="2" a="1"/>
  <c r="J193" i="2" s="1"/>
  <c r="J194" i="2" a="1"/>
  <c r="J194" i="2" s="1"/>
  <c r="J195" i="2" a="1"/>
  <c r="J195" i="2" s="1"/>
  <c r="J196" i="2" a="1"/>
  <c r="J196" i="2" s="1"/>
  <c r="J197" i="2" a="1"/>
  <c r="J197" i="2" s="1"/>
  <c r="J198" i="2" a="1"/>
  <c r="J198" i="2" s="1"/>
  <c r="J199" i="2" a="1"/>
  <c r="J199" i="2" s="1"/>
  <c r="J200" i="2" a="1"/>
  <c r="J200" i="2" s="1"/>
  <c r="J201" i="2" a="1"/>
  <c r="J201" i="2" s="1"/>
  <c r="J202" i="2" a="1"/>
  <c r="J202" i="2" s="1"/>
  <c r="J203" i="2" a="1"/>
  <c r="J203" i="2" s="1"/>
  <c r="J204" i="2" a="1"/>
  <c r="J204" i="2" s="1"/>
  <c r="J205" i="2" a="1"/>
  <c r="J205" i="2" s="1"/>
  <c r="J206" i="2" a="1"/>
  <c r="J206" i="2" s="1"/>
  <c r="J207" i="2" a="1"/>
  <c r="J207" i="2" s="1"/>
  <c r="J208" i="2" a="1"/>
  <c r="J208" i="2" s="1"/>
  <c r="J209" i="2" a="1"/>
  <c r="J209" i="2" s="1"/>
  <c r="J210" i="2" a="1"/>
  <c r="J210" i="2" s="1"/>
  <c r="J211" i="2" a="1"/>
  <c r="J211" i="2" s="1"/>
  <c r="J212" i="2" a="1"/>
  <c r="J212" i="2" s="1"/>
  <c r="J213" i="2" a="1"/>
  <c r="J213" i="2" s="1"/>
  <c r="J214" i="2" a="1"/>
  <c r="J214" i="2" s="1"/>
  <c r="J215" i="2" a="1"/>
  <c r="J215" i="2" s="1"/>
  <c r="J216" i="2" a="1"/>
  <c r="J216" i="2" s="1"/>
  <c r="J217" i="2" a="1"/>
  <c r="J217" i="2" s="1"/>
  <c r="J218" i="2" a="1"/>
  <c r="J218" i="2" s="1"/>
  <c r="J219" i="2" a="1"/>
  <c r="J219" i="2" s="1"/>
  <c r="J220" i="2" a="1"/>
  <c r="J220" i="2" s="1"/>
  <c r="J221" i="2" a="1"/>
  <c r="J221" i="2" s="1"/>
  <c r="J222" i="2" a="1"/>
  <c r="J222" i="2" s="1"/>
  <c r="J223" i="2" a="1"/>
  <c r="J223" i="2" s="1"/>
  <c r="J224" i="2" a="1"/>
  <c r="J224" i="2" s="1"/>
  <c r="J225" i="2" a="1"/>
  <c r="J225" i="2" s="1"/>
  <c r="J226" i="2" a="1"/>
  <c r="J226" i="2" s="1"/>
  <c r="J227" i="2" a="1"/>
  <c r="J227" i="2" s="1"/>
  <c r="J228" i="2" a="1"/>
  <c r="J228" i="2" s="1"/>
  <c r="J229" i="2" a="1"/>
  <c r="J229" i="2" s="1"/>
  <c r="J230" i="2" a="1"/>
  <c r="J230" i="2" s="1"/>
  <c r="J231" i="2" a="1"/>
  <c r="J231" i="2" s="1"/>
  <c r="J232" i="2" a="1"/>
  <c r="J232" i="2" s="1"/>
  <c r="J233" i="2" a="1"/>
  <c r="J233" i="2" s="1"/>
  <c r="J234" i="2" a="1"/>
  <c r="J234" i="2" s="1"/>
  <c r="J235" i="2" a="1"/>
  <c r="J235" i="2" s="1"/>
  <c r="J236" i="2" a="1"/>
  <c r="J236" i="2" s="1"/>
  <c r="J237" i="2" a="1"/>
  <c r="J237" i="2" s="1"/>
  <c r="J238" i="2" a="1"/>
  <c r="J238" i="2" s="1"/>
  <c r="J239" i="2" a="1"/>
  <c r="J239" i="2" s="1"/>
  <c r="J240" i="2" a="1"/>
  <c r="J240" i="2" s="1"/>
  <c r="J241" i="2" a="1"/>
  <c r="J241" i="2" s="1"/>
  <c r="J242" i="2" a="1"/>
  <c r="J242" i="2" s="1"/>
  <c r="J243" i="2" a="1"/>
  <c r="J243" i="2" s="1"/>
  <c r="J244" i="2" a="1"/>
  <c r="J244" i="2" s="1"/>
  <c r="J245" i="2" a="1"/>
  <c r="J245" i="2" s="1"/>
  <c r="J246" i="2" a="1"/>
  <c r="J246" i="2" s="1"/>
  <c r="J247" i="2" a="1"/>
  <c r="J247" i="2" s="1"/>
  <c r="J248" i="2" a="1"/>
  <c r="J248" i="2" s="1"/>
  <c r="J249" i="2" a="1"/>
  <c r="J249" i="2" s="1"/>
  <c r="J250" i="2" a="1"/>
  <c r="J250" i="2" s="1"/>
  <c r="J251" i="2" a="1"/>
  <c r="J251" i="2" s="1"/>
  <c r="J252" i="2" a="1"/>
  <c r="J252" i="2" s="1"/>
  <c r="K252" i="2" s="1"/>
  <c r="J253" i="2" a="1"/>
  <c r="J253" i="2" s="1"/>
  <c r="K253" i="2" s="1"/>
  <c r="J254" i="2" a="1"/>
  <c r="J254" i="2" s="1"/>
  <c r="K254" i="2" s="1"/>
  <c r="J255" i="2" a="1"/>
  <c r="J255" i="2" s="1"/>
  <c r="K255" i="2" s="1"/>
  <c r="J256" i="2" a="1"/>
  <c r="J256" i="2" s="1"/>
  <c r="K256" i="2" s="1"/>
  <c r="J257" i="2" a="1"/>
  <c r="J257" i="2" s="1"/>
  <c r="K257" i="2" s="1"/>
  <c r="J258" i="2" a="1"/>
  <c r="J258" i="2" s="1"/>
  <c r="K258" i="2" s="1"/>
  <c r="J259" i="2" a="1"/>
  <c r="J259" i="2" s="1"/>
  <c r="K259" i="2" s="1"/>
  <c r="J260" i="2" a="1"/>
  <c r="J260" i="2" s="1"/>
  <c r="K260" i="2" s="1"/>
  <c r="J261" i="2" a="1"/>
  <c r="J261" i="2" s="1"/>
  <c r="K261" i="2" s="1"/>
  <c r="J262" i="2" a="1"/>
  <c r="J262" i="2" s="1"/>
  <c r="K262" i="2" s="1"/>
  <c r="J263" i="2" a="1"/>
  <c r="J263" i="2" s="1"/>
  <c r="K263" i="2" s="1"/>
  <c r="J264" i="2" a="1"/>
  <c r="J264" i="2" s="1"/>
  <c r="K264" i="2" s="1"/>
  <c r="J265" i="2" a="1"/>
  <c r="J265" i="2" s="1"/>
  <c r="K265" i="2" s="1"/>
  <c r="J266" i="2" a="1"/>
  <c r="J266" i="2" s="1"/>
  <c r="K266" i="2" s="1"/>
  <c r="J267" i="2" a="1"/>
  <c r="J267" i="2" s="1"/>
  <c r="K267" i="2" s="1"/>
  <c r="J268" i="2" a="1"/>
  <c r="J268" i="2" s="1"/>
  <c r="K268" i="2" s="1"/>
  <c r="J269" i="2" a="1"/>
  <c r="J269" i="2" s="1"/>
  <c r="K269" i="2" s="1"/>
  <c r="J270" i="2" a="1"/>
  <c r="J270" i="2" s="1"/>
  <c r="K270" i="2" s="1"/>
  <c r="J271" i="2" a="1"/>
  <c r="J271" i="2" s="1"/>
  <c r="K271" i="2" s="1"/>
  <c r="J272" i="2" a="1"/>
  <c r="J272" i="2" s="1"/>
  <c r="K272" i="2" s="1"/>
  <c r="J273" i="2" a="1"/>
  <c r="J273" i="2" s="1"/>
  <c r="K273" i="2" s="1"/>
  <c r="J274" i="2" a="1"/>
  <c r="J274" i="2" s="1"/>
  <c r="K274" i="2" s="1"/>
  <c r="J275" i="2" a="1"/>
  <c r="J275" i="2" s="1"/>
  <c r="K275" i="2" s="1"/>
  <c r="J276" i="2" a="1"/>
  <c r="J276" i="2" s="1"/>
  <c r="K276" i="2" s="1"/>
  <c r="J277" i="2" a="1"/>
  <c r="J277" i="2" s="1"/>
  <c r="K277" i="2" s="1"/>
  <c r="J278" i="2" a="1"/>
  <c r="J278" i="2" s="1"/>
  <c r="K278" i="2" s="1"/>
  <c r="J279" i="2" a="1"/>
  <c r="J279" i="2" s="1"/>
  <c r="K279" i="2" s="1"/>
  <c r="J280" i="2" a="1"/>
  <c r="J280" i="2" s="1"/>
  <c r="K280" i="2" s="1"/>
  <c r="J281" i="2" a="1"/>
  <c r="J281" i="2" s="1"/>
  <c r="K281" i="2" s="1"/>
  <c r="J282" i="2" a="1"/>
  <c r="J282" i="2" s="1"/>
  <c r="K282" i="2" s="1"/>
  <c r="J283" i="2" a="1"/>
  <c r="J283" i="2" s="1"/>
  <c r="K283" i="2" s="1"/>
  <c r="J284" i="2" a="1"/>
  <c r="J284" i="2" s="1"/>
  <c r="K284" i="2" s="1"/>
  <c r="J285" i="2" a="1"/>
  <c r="J285" i="2" s="1"/>
  <c r="K285" i="2" s="1"/>
  <c r="J286" i="2" a="1"/>
  <c r="J286" i="2" s="1"/>
  <c r="K286" i="2" s="1"/>
  <c r="J287" i="2" a="1"/>
  <c r="J287" i="2" s="1"/>
  <c r="K287" i="2" s="1"/>
  <c r="J288" i="2" a="1"/>
  <c r="J288" i="2" s="1"/>
  <c r="K288" i="2" s="1"/>
  <c r="J289" i="2" a="1"/>
  <c r="J289" i="2" s="1"/>
  <c r="K289" i="2" s="1"/>
  <c r="J290" i="2" a="1"/>
  <c r="J290" i="2" s="1"/>
  <c r="K290" i="2" s="1"/>
  <c r="J291" i="2" a="1"/>
  <c r="J291" i="2" s="1"/>
  <c r="K291" i="2" s="1"/>
  <c r="J292" i="2" a="1"/>
  <c r="J292" i="2" s="1"/>
  <c r="K292" i="2" s="1"/>
  <c r="G25" i="1" l="1" a="1"/>
  <c r="G25" i="1" s="1"/>
  <c r="D26" i="1" a="1"/>
  <c r="D26" i="1" s="1"/>
  <c r="I26" i="1" a="1"/>
  <c r="I26" i="1" s="1"/>
  <c r="E27" i="1" a="1"/>
  <c r="E27" i="1" s="1"/>
  <c r="M27" i="1" a="1"/>
  <c r="M27" i="1" s="1"/>
  <c r="G20" i="1" a="1"/>
  <c r="G20" i="1" s="1"/>
  <c r="O20" i="1" a="1"/>
  <c r="O20" i="1" s="1"/>
  <c r="I21" i="1" a="1"/>
  <c r="I21" i="1" s="1"/>
  <c r="D22" i="1" a="1"/>
  <c r="D22" i="1" s="1"/>
  <c r="K22" i="1" a="1"/>
  <c r="K22" i="1" s="1"/>
  <c r="E23" i="1" a="1"/>
  <c r="E23" i="1" s="1"/>
  <c r="M23" i="1" a="1"/>
  <c r="M23" i="1" s="1"/>
  <c r="G24" i="1" a="1"/>
  <c r="G24" i="1" s="1"/>
  <c r="O24" i="1" a="1"/>
  <c r="O24" i="1" s="1"/>
  <c r="K19" i="1" a="1"/>
  <c r="K19" i="1" s="1"/>
  <c r="E19" i="1" a="1"/>
  <c r="E19" i="1" s="1"/>
  <c r="K25" i="1" a="1"/>
  <c r="K25" i="1" s="1"/>
  <c r="M26" i="1" a="1"/>
  <c r="M26" i="1" s="1"/>
  <c r="K27" i="1" a="1"/>
  <c r="K27" i="1" s="1"/>
  <c r="M20" i="1" a="1"/>
  <c r="M20" i="1" s="1"/>
  <c r="O21" i="1" a="1"/>
  <c r="O21" i="1" s="1"/>
  <c r="D23" i="1" a="1"/>
  <c r="D23" i="1" s="1"/>
  <c r="E24" i="1" a="1"/>
  <c r="E24" i="1" s="1"/>
  <c r="M19" i="1" a="1"/>
  <c r="M19" i="1" s="1"/>
  <c r="O25" i="1" a="1"/>
  <c r="O25" i="1" s="1"/>
  <c r="K26" i="1" a="1"/>
  <c r="K26" i="1" s="1"/>
  <c r="I27" i="1" a="1"/>
  <c r="I27" i="1" s="1"/>
  <c r="K20" i="1" a="1"/>
  <c r="K20" i="1" s="1"/>
  <c r="M21" i="1" a="1"/>
  <c r="M21" i="1" s="1"/>
  <c r="O22" i="1" a="1"/>
  <c r="O22" i="1" s="1"/>
  <c r="D24" i="1" a="1"/>
  <c r="D24" i="1" s="1"/>
  <c r="I19" i="1" a="1"/>
  <c r="I19" i="1" s="1"/>
  <c r="D25" i="1" a="1"/>
  <c r="D25" i="1" s="1"/>
  <c r="M25" i="1" a="1"/>
  <c r="M25" i="1" s="1"/>
  <c r="E26" i="1" a="1"/>
  <c r="E26" i="1" s="1"/>
  <c r="O26" i="1" a="1"/>
  <c r="O26" i="1" s="1"/>
  <c r="G27" i="1" a="1"/>
  <c r="G27" i="1" s="1"/>
  <c r="O27" i="1" a="1"/>
  <c r="O27" i="1" s="1"/>
  <c r="I20" i="1" a="1"/>
  <c r="I20" i="1" s="1"/>
  <c r="D21" i="1" a="1"/>
  <c r="D21" i="1" s="1"/>
  <c r="K21" i="1" a="1"/>
  <c r="K21" i="1" s="1"/>
  <c r="E22" i="1" a="1"/>
  <c r="E22" i="1" s="1"/>
  <c r="M22" i="1" a="1"/>
  <c r="M22" i="1" s="1"/>
  <c r="G23" i="1" a="1"/>
  <c r="G23" i="1" s="1"/>
  <c r="O23" i="1" a="1"/>
  <c r="O23" i="1" s="1"/>
  <c r="I24" i="1" a="1"/>
  <c r="I24" i="1" s="1"/>
  <c r="O19" i="1" a="1"/>
  <c r="O19" i="1" s="1"/>
  <c r="D19" i="1" a="1"/>
  <c r="D19" i="1" s="1"/>
  <c r="E25" i="1" a="1"/>
  <c r="E25" i="1" s="1"/>
  <c r="G26" i="1" a="1"/>
  <c r="G26" i="1" s="1"/>
  <c r="E20" i="1" a="1"/>
  <c r="E20" i="1" s="1"/>
  <c r="G21" i="1" a="1"/>
  <c r="G21" i="1" s="1"/>
  <c r="I22" i="1" a="1"/>
  <c r="I22" i="1" s="1"/>
  <c r="K23" i="1" a="1"/>
  <c r="K23" i="1" s="1"/>
  <c r="M24" i="1" a="1"/>
  <c r="M24" i="1" s="1"/>
  <c r="G19" i="1" a="1"/>
  <c r="G19" i="1" s="1"/>
  <c r="I25" i="1" a="1"/>
  <c r="I25" i="1" s="1"/>
  <c r="D27" i="1" a="1"/>
  <c r="D27" i="1" s="1"/>
  <c r="D20" i="1" a="1"/>
  <c r="D20" i="1" s="1"/>
  <c r="E21" i="1" a="1"/>
  <c r="E21" i="1" s="1"/>
  <c r="G22" i="1" a="1"/>
  <c r="G22" i="1" s="1"/>
  <c r="I23" i="1" a="1"/>
  <c r="I23" i="1" s="1"/>
  <c r="K24" i="1" a="1"/>
  <c r="K24" i="1" s="1"/>
  <c r="D17" i="1"/>
  <c r="E2" i="1"/>
  <c r="J3" i="2" l="1" a="1"/>
  <c r="J3" i="2" s="1"/>
  <c r="K251" i="2" s="1"/>
  <c r="K168" i="2" l="1"/>
  <c r="K72" i="2"/>
  <c r="K143" i="2"/>
  <c r="K120" i="2"/>
  <c r="K13" i="2"/>
  <c r="K131" i="2"/>
  <c r="K244" i="2"/>
  <c r="K203" i="2"/>
  <c r="K164" i="2"/>
  <c r="K84" i="2"/>
  <c r="K27" i="2"/>
  <c r="K85" i="2"/>
  <c r="K113" i="2"/>
  <c r="K149" i="2"/>
  <c r="K213" i="2"/>
  <c r="K245" i="2"/>
  <c r="K117" i="2"/>
  <c r="K140" i="2"/>
  <c r="K183" i="2"/>
  <c r="K20" i="2"/>
  <c r="K186" i="2"/>
  <c r="K17" i="2"/>
  <c r="K34" i="2"/>
  <c r="K88" i="2"/>
  <c r="K188" i="2"/>
  <c r="K212" i="2"/>
  <c r="K107" i="2"/>
  <c r="K49" i="2"/>
  <c r="K141" i="2"/>
  <c r="K237" i="2"/>
  <c r="K177" i="2"/>
  <c r="K60" i="2"/>
  <c r="K96" i="2"/>
  <c r="K194" i="2"/>
  <c r="K106" i="2"/>
  <c r="K230" i="2"/>
  <c r="K58" i="2"/>
  <c r="K104" i="2"/>
  <c r="K31" i="2"/>
  <c r="K51" i="2"/>
  <c r="K187" i="2"/>
  <c r="K59" i="2"/>
  <c r="K101" i="2"/>
  <c r="K197" i="2"/>
  <c r="K97" i="2"/>
  <c r="K211" i="2"/>
  <c r="K240" i="2"/>
  <c r="K48" i="2"/>
  <c r="K202" i="2"/>
  <c r="K122" i="2"/>
  <c r="K238" i="2"/>
  <c r="K232" i="2"/>
  <c r="K136" i="2"/>
  <c r="K239" i="2"/>
  <c r="K127" i="2"/>
  <c r="K47" i="2"/>
  <c r="K236" i="2"/>
  <c r="K83" i="2"/>
  <c r="K235" i="2"/>
  <c r="K196" i="2"/>
  <c r="K132" i="2"/>
  <c r="K68" i="2"/>
  <c r="K8" i="2"/>
  <c r="K89" i="2"/>
  <c r="K125" i="2"/>
  <c r="K173" i="2"/>
  <c r="K221" i="2"/>
  <c r="K16" i="2"/>
  <c r="K121" i="2"/>
  <c r="K241" i="2"/>
  <c r="K124" i="2"/>
  <c r="K28" i="2"/>
  <c r="K151" i="2"/>
  <c r="K64" i="2"/>
  <c r="K12" i="2"/>
  <c r="K210" i="2"/>
  <c r="K178" i="2"/>
  <c r="K130" i="2"/>
  <c r="K90" i="2"/>
  <c r="K14" i="2"/>
  <c r="K198" i="2"/>
  <c r="K82" i="2"/>
  <c r="K10" i="2"/>
  <c r="K233" i="2"/>
  <c r="K44" i="2"/>
  <c r="K87" i="2"/>
  <c r="K218" i="2"/>
  <c r="K146" i="2"/>
  <c r="K98" i="2"/>
  <c r="K214" i="2"/>
  <c r="K102" i="2"/>
  <c r="K184" i="2"/>
  <c r="K175" i="2"/>
  <c r="K95" i="2"/>
  <c r="K19" i="2"/>
  <c r="K215" i="2"/>
  <c r="K180" i="2"/>
  <c r="K36" i="2"/>
  <c r="K105" i="2"/>
  <c r="K205" i="2"/>
  <c r="K109" i="2"/>
  <c r="K179" i="2"/>
  <c r="K192" i="2"/>
  <c r="K39" i="2"/>
  <c r="K226" i="2"/>
  <c r="K154" i="2"/>
  <c r="K70" i="2"/>
  <c r="K126" i="2"/>
  <c r="K200" i="2"/>
  <c r="K207" i="2"/>
  <c r="K111" i="2"/>
  <c r="K220" i="2"/>
  <c r="K228" i="2"/>
  <c r="K123" i="2"/>
  <c r="K45" i="2"/>
  <c r="K129" i="2"/>
  <c r="K229" i="2"/>
  <c r="K145" i="2"/>
  <c r="K76" i="2"/>
  <c r="K112" i="2"/>
  <c r="K250" i="2"/>
  <c r="K162" i="2"/>
  <c r="K78" i="2"/>
  <c r="K142" i="2"/>
  <c r="K66" i="2"/>
  <c r="K3" i="2"/>
  <c r="K56" i="2"/>
  <c r="K223" i="2"/>
  <c r="K79" i="2"/>
  <c r="K156" i="2"/>
  <c r="K99" i="2"/>
  <c r="K35" i="2"/>
  <c r="K199" i="2"/>
  <c r="K100" i="2"/>
  <c r="K33" i="2"/>
  <c r="K69" i="2"/>
  <c r="K165" i="2"/>
  <c r="K21" i="2"/>
  <c r="K41" i="2"/>
  <c r="K77" i="2"/>
  <c r="K137" i="2"/>
  <c r="K169" i="2"/>
  <c r="K201" i="2"/>
  <c r="K144" i="2"/>
  <c r="K80" i="2"/>
  <c r="K242" i="2"/>
  <c r="K114" i="2"/>
  <c r="K46" i="2"/>
  <c r="K6" i="2"/>
  <c r="K11" i="2"/>
  <c r="K222" i="2"/>
  <c r="K190" i="2"/>
  <c r="K158" i="2"/>
  <c r="K94" i="2"/>
  <c r="K116" i="2"/>
  <c r="K29" i="2"/>
  <c r="K93" i="2"/>
  <c r="K153" i="2"/>
  <c r="K217" i="2"/>
  <c r="K160" i="2"/>
  <c r="K32" i="2"/>
  <c r="K30" i="2"/>
  <c r="K174" i="2"/>
  <c r="K110" i="2"/>
  <c r="K50" i="2"/>
  <c r="K5" i="2"/>
  <c r="K191" i="2"/>
  <c r="K204" i="2"/>
  <c r="K176" i="2"/>
  <c r="K155" i="2"/>
  <c r="K25" i="2"/>
  <c r="K81" i="2"/>
  <c r="K209" i="2"/>
  <c r="K195" i="2"/>
  <c r="K167" i="2"/>
  <c r="K103" i="2"/>
  <c r="K234" i="2"/>
  <c r="K170" i="2"/>
  <c r="K38" i="2"/>
  <c r="K246" i="2"/>
  <c r="K182" i="2"/>
  <c r="K118" i="2"/>
  <c r="K63" i="2"/>
  <c r="K248" i="2"/>
  <c r="K152" i="2"/>
  <c r="K172" i="2"/>
  <c r="K115" i="2"/>
  <c r="K171" i="2"/>
  <c r="K139" i="2"/>
  <c r="K75" i="2"/>
  <c r="K43" i="2"/>
  <c r="K7" i="2"/>
  <c r="K57" i="2"/>
  <c r="K157" i="2"/>
  <c r="K189" i="2"/>
  <c r="K37" i="2"/>
  <c r="K65" i="2"/>
  <c r="K133" i="2"/>
  <c r="K161" i="2"/>
  <c r="K193" i="2"/>
  <c r="K225" i="2"/>
  <c r="K227" i="2"/>
  <c r="K163" i="2"/>
  <c r="K92" i="2"/>
  <c r="K119" i="2"/>
  <c r="K55" i="2"/>
  <c r="K23" i="2"/>
  <c r="K54" i="2"/>
  <c r="K26" i="2"/>
  <c r="K18" i="2"/>
  <c r="K166" i="2"/>
  <c r="K134" i="2"/>
  <c r="K74" i="2"/>
  <c r="K42" i="2"/>
  <c r="K4" i="2"/>
  <c r="K216" i="2"/>
  <c r="K24" i="2"/>
  <c r="K159" i="2"/>
  <c r="K243" i="2"/>
  <c r="K67" i="2"/>
  <c r="K231" i="2"/>
  <c r="K148" i="2"/>
  <c r="K52" i="2"/>
  <c r="K181" i="2"/>
  <c r="K61" i="2"/>
  <c r="K185" i="2"/>
  <c r="K249" i="2"/>
  <c r="K108" i="2"/>
  <c r="K208" i="2"/>
  <c r="K128" i="2"/>
  <c r="K62" i="2"/>
  <c r="K206" i="2"/>
  <c r="K9" i="2"/>
  <c r="K40" i="2"/>
  <c r="K147" i="2"/>
  <c r="K247" i="2"/>
  <c r="K219" i="2"/>
  <c r="K91" i="2"/>
  <c r="K73" i="2"/>
  <c r="K53" i="2"/>
  <c r="K224" i="2"/>
  <c r="K135" i="2"/>
  <c r="K71" i="2"/>
  <c r="K15" i="2"/>
  <c r="K138" i="2"/>
  <c r="K150" i="2"/>
  <c r="K86" i="2"/>
  <c r="K22" i="2"/>
  <c r="R2" i="1"/>
  <c r="I3" i="1"/>
  <c r="K3" i="1"/>
  <c r="L10" i="2" l="1"/>
  <c r="L3" i="2" a="1"/>
  <c r="L3" i="2" s="1"/>
  <c r="L17" i="2" a="1"/>
  <c r="L17" i="2" s="1"/>
  <c r="L33" i="2" a="1"/>
  <c r="L33" i="2" s="1"/>
  <c r="L49" i="2" a="1"/>
  <c r="L49" i="2" s="1"/>
  <c r="L65" i="2" a="1"/>
  <c r="L65" i="2" s="1"/>
  <c r="L81" i="2" a="1"/>
  <c r="L81" i="2" s="1"/>
  <c r="L97" i="2" a="1"/>
  <c r="L97" i="2" s="1"/>
  <c r="L113" i="2" a="1"/>
  <c r="L113" i="2" s="1"/>
  <c r="L129" i="2" a="1"/>
  <c r="L129" i="2" s="1"/>
  <c r="L148" i="2" a="1"/>
  <c r="L148" i="2" s="1"/>
  <c r="L177" i="2" a="1"/>
  <c r="L177" i="2" s="1"/>
  <c r="L18" i="2" a="1"/>
  <c r="L18" i="2" s="1"/>
  <c r="L34" i="2" a="1"/>
  <c r="L34" i="2" s="1"/>
  <c r="L50" i="2" a="1"/>
  <c r="L50" i="2" s="1"/>
  <c r="L66" i="2" a="1"/>
  <c r="L66" i="2" s="1"/>
  <c r="L82" i="2" a="1"/>
  <c r="L82" i="2" s="1"/>
  <c r="L98" i="2" a="1"/>
  <c r="L98" i="2" s="1"/>
  <c r="L114" i="2" a="1"/>
  <c r="L114" i="2" s="1"/>
  <c r="L130" i="2" a="1"/>
  <c r="L130" i="2" s="1"/>
  <c r="L146" i="2" a="1"/>
  <c r="L146" i="2" s="1"/>
  <c r="L162" i="2" a="1"/>
  <c r="L162" i="2" s="1"/>
  <c r="L178" i="2" a="1"/>
  <c r="L178" i="2" s="1"/>
  <c r="L194" i="2" a="1"/>
  <c r="L194" i="2" s="1"/>
  <c r="L210" i="2" a="1"/>
  <c r="L210" i="2" s="1"/>
  <c r="L226" i="2" a="1"/>
  <c r="L226" i="2" s="1"/>
  <c r="L242" i="2" a="1"/>
  <c r="L242" i="2" s="1"/>
  <c r="L258" i="2" a="1"/>
  <c r="L258" i="2" s="1"/>
  <c r="L274" i="2" a="1"/>
  <c r="L274" i="2" s="1"/>
  <c r="L290" i="2" a="1"/>
  <c r="L290" i="2" s="1"/>
  <c r="L169" i="2" a="1"/>
  <c r="L169" i="2" s="1"/>
  <c r="L78" i="2" a="1"/>
  <c r="L78" i="2" s="1"/>
  <c r="L158" i="2" a="1"/>
  <c r="L158" i="2" s="1"/>
  <c r="L209" i="2" a="1"/>
  <c r="L209" i="2" s="1"/>
  <c r="L256" i="2" a="1"/>
  <c r="L256" i="2" s="1"/>
  <c r="L13" i="2" a="1"/>
  <c r="L13" i="2" s="1"/>
  <c r="L88" i="2" a="1"/>
  <c r="L88" i="2" s="1"/>
  <c r="L152" i="2" a="1"/>
  <c r="L152" i="2" s="1"/>
  <c r="L205" i="2" a="1"/>
  <c r="L205" i="2" s="1"/>
  <c r="L251" i="2" a="1"/>
  <c r="L251" i="2" s="1"/>
  <c r="L6" i="2" a="1"/>
  <c r="L6" i="2" s="1"/>
  <c r="L75" i="2" a="1"/>
  <c r="L75" i="2" s="1"/>
  <c r="L139" i="2" a="1"/>
  <c r="L139" i="2" s="1"/>
  <c r="L197" i="2" a="1"/>
  <c r="L197" i="2" s="1"/>
  <c r="L240" i="2" a="1"/>
  <c r="L240" i="2" s="1"/>
  <c r="L286" i="2" a="1"/>
  <c r="L286" i="2" s="1"/>
  <c r="L32" i="2" a="1"/>
  <c r="L32" i="2" s="1"/>
  <c r="L64" i="2" a="1"/>
  <c r="L64" i="2" s="1"/>
  <c r="L96" i="2" a="1"/>
  <c r="L96" i="2" s="1"/>
  <c r="L128" i="2" a="1"/>
  <c r="L128" i="2" s="1"/>
  <c r="L160" i="2" a="1"/>
  <c r="L160" i="2" s="1"/>
  <c r="L185" i="2" a="1"/>
  <c r="L185" i="2" s="1"/>
  <c r="L203" i="2" a="1"/>
  <c r="L203" i="2" s="1"/>
  <c r="L228" i="2" a="1"/>
  <c r="L228" i="2" s="1"/>
  <c r="L249" i="2" a="1"/>
  <c r="L249" i="2" s="1"/>
  <c r="L267" i="2" a="1"/>
  <c r="L267" i="2" s="1"/>
  <c r="L292" i="2" a="1"/>
  <c r="L292" i="2" s="1"/>
  <c r="L46" i="2" a="1"/>
  <c r="L46" i="2" s="1"/>
  <c r="L94" i="2" a="1"/>
  <c r="L94" i="2" s="1"/>
  <c r="L142" i="2" a="1"/>
  <c r="L142" i="2" s="1"/>
  <c r="L206" i="2" a="1"/>
  <c r="L206" i="2" s="1"/>
  <c r="L245" i="2" a="1"/>
  <c r="L245" i="2" s="1"/>
  <c r="L284" i="2" a="1"/>
  <c r="L284" i="2" s="1"/>
  <c r="L29" i="2" a="1"/>
  <c r="L29" i="2" s="1"/>
  <c r="L93" i="2" a="1"/>
  <c r="L93" i="2" s="1"/>
  <c r="L157" i="2" a="1"/>
  <c r="L157" i="2" s="1"/>
  <c r="L212" i="2" a="1"/>
  <c r="L212" i="2" s="1"/>
  <c r="L248" i="2" a="1"/>
  <c r="L248" i="2" s="1"/>
  <c r="L11" i="2" a="1"/>
  <c r="L11" i="2" s="1"/>
  <c r="L70" i="2" a="1"/>
  <c r="L70" i="2" s="1"/>
  <c r="L134" i="2" a="1"/>
  <c r="L134" i="2" s="1"/>
  <c r="L193" i="2" a="1"/>
  <c r="L193" i="2" s="1"/>
  <c r="L236" i="2" a="1"/>
  <c r="L236" i="2" s="1"/>
  <c r="L275" i="2" a="1"/>
  <c r="L275" i="2" s="1"/>
  <c r="L12" i="2" a="1"/>
  <c r="L12" i="2" s="1"/>
  <c r="L28" i="2" a="1"/>
  <c r="L28" i="2" s="1"/>
  <c r="L44" i="2" a="1"/>
  <c r="L44" i="2" s="1"/>
  <c r="L60" i="2" a="1"/>
  <c r="L60" i="2" s="1"/>
  <c r="L76" i="2" a="1"/>
  <c r="L76" i="2" s="1"/>
  <c r="L92" i="2" a="1"/>
  <c r="L92" i="2" s="1"/>
  <c r="L124" i="2" a="1"/>
  <c r="L124" i="2" s="1"/>
  <c r="L145" i="2" a="1"/>
  <c r="L145" i="2" s="1"/>
  <c r="L172" i="2" a="1"/>
  <c r="L172" i="2" s="1"/>
  <c r="L15" i="2" a="1"/>
  <c r="L15" i="2" s="1"/>
  <c r="L31" i="2" a="1"/>
  <c r="L31" i="2" s="1"/>
  <c r="L47" i="2" a="1"/>
  <c r="L47" i="2" s="1"/>
  <c r="L79" i="2" a="1"/>
  <c r="L79" i="2" s="1"/>
  <c r="L111" i="2" a="1"/>
  <c r="L111" i="2" s="1"/>
  <c r="L143" i="2" a="1"/>
  <c r="L143" i="2" s="1"/>
  <c r="L175" i="2" a="1"/>
  <c r="L175" i="2" s="1"/>
  <c r="L207" i="2" a="1"/>
  <c r="L207" i="2" s="1"/>
  <c r="L239" i="2" a="1"/>
  <c r="L239" i="2" s="1"/>
  <c r="L271" i="2" a="1"/>
  <c r="L271" i="2" s="1"/>
  <c r="L161" i="2" a="1"/>
  <c r="L161" i="2" s="1"/>
  <c r="L147" i="2" a="1"/>
  <c r="L147" i="2" s="1"/>
  <c r="L241" i="2" a="1"/>
  <c r="L241" i="2" s="1"/>
  <c r="L72" i="2" a="1"/>
  <c r="L72" i="2" s="1"/>
  <c r="L198" i="2" a="1"/>
  <c r="L198" i="2" s="1"/>
  <c r="L283" i="2" a="1"/>
  <c r="L283" i="2" s="1"/>
  <c r="L118" i="2" a="1"/>
  <c r="L118" i="2" s="1"/>
  <c r="L229" i="2" a="1"/>
  <c r="L229" i="2" s="1"/>
  <c r="L21" i="2" a="1"/>
  <c r="L21" i="2" s="1"/>
  <c r="L85" i="2" a="1"/>
  <c r="L85" i="2" s="1"/>
  <c r="L149" i="2" a="1"/>
  <c r="L149" i="2" s="1"/>
  <c r="L200" i="2" a="1"/>
  <c r="L200" i="2" s="1"/>
  <c r="L246" i="2" a="1"/>
  <c r="L246" i="2" s="1"/>
  <c r="L285" i="2" a="1"/>
  <c r="L285" i="2" s="1"/>
  <c r="L83" i="2" a="1"/>
  <c r="L83" i="2" s="1"/>
  <c r="L192" i="2" a="1"/>
  <c r="L192" i="2" s="1"/>
  <c r="L273" i="2" a="1"/>
  <c r="L273" i="2" s="1"/>
  <c r="L77" i="2" a="1"/>
  <c r="L77" i="2" s="1"/>
  <c r="L201" i="2" a="1"/>
  <c r="L201" i="2" s="1"/>
  <c r="L280" i="2" a="1"/>
  <c r="L280" i="2" s="1"/>
  <c r="L123" i="2" a="1"/>
  <c r="L123" i="2" s="1"/>
  <c r="L225" i="2" a="1"/>
  <c r="L225" i="2" s="1"/>
  <c r="L25" i="2" a="1"/>
  <c r="L25" i="2" s="1"/>
  <c r="L89" i="2" a="1"/>
  <c r="L89" i="2" s="1"/>
  <c r="L121" i="2" a="1"/>
  <c r="L121" i="2" s="1"/>
  <c r="L164" i="2" a="1"/>
  <c r="L164" i="2" s="1"/>
  <c r="L26" i="2" a="1"/>
  <c r="L26" i="2" s="1"/>
  <c r="L58" i="2" a="1"/>
  <c r="L58" i="2" s="1"/>
  <c r="L90" i="2" a="1"/>
  <c r="L90" i="2" s="1"/>
  <c r="L122" i="2" a="1"/>
  <c r="L122" i="2" s="1"/>
  <c r="L154" i="2" a="1"/>
  <c r="L154" i="2" s="1"/>
  <c r="L186" i="2" a="1"/>
  <c r="L186" i="2" s="1"/>
  <c r="L218" i="2" a="1"/>
  <c r="L218" i="2" s="1"/>
  <c r="L250" i="2" a="1"/>
  <c r="L250" i="2" s="1"/>
  <c r="L282" i="2" a="1"/>
  <c r="L282" i="2" s="1"/>
  <c r="L19" i="2" a="1"/>
  <c r="L19" i="2" s="1"/>
  <c r="L188" i="2" a="1"/>
  <c r="L188" i="2" s="1"/>
  <c r="L277" i="2" a="1"/>
  <c r="L277" i="2" s="1"/>
  <c r="L120" i="2" a="1"/>
  <c r="L120" i="2" s="1"/>
  <c r="L233" i="2" a="1"/>
  <c r="L233" i="2" s="1"/>
  <c r="L38" i="2" a="1"/>
  <c r="L38" i="2" s="1"/>
  <c r="L166" i="2" a="1"/>
  <c r="L166" i="2" s="1"/>
  <c r="L261" i="2" a="1"/>
  <c r="L261" i="2" s="1"/>
  <c r="L48" i="2" a="1"/>
  <c r="L48" i="2" s="1"/>
  <c r="L112" i="2" a="1"/>
  <c r="L112" i="2" s="1"/>
  <c r="L176" i="2" a="1"/>
  <c r="L176" i="2" s="1"/>
  <c r="L217" i="2" a="1"/>
  <c r="L217" i="2" s="1"/>
  <c r="L260" i="2" a="1"/>
  <c r="L260" i="2" s="1"/>
  <c r="L30" i="2" a="1"/>
  <c r="L30" i="2" s="1"/>
  <c r="L115" i="2" a="1"/>
  <c r="L115" i="2" s="1"/>
  <c r="L224" i="2" a="1"/>
  <c r="L224" i="2" s="1"/>
  <c r="L8" i="2" a="1"/>
  <c r="L8" i="2" s="1"/>
  <c r="L125" i="2" a="1"/>
  <c r="L125" i="2" s="1"/>
  <c r="L269" i="2" a="1"/>
  <c r="L269" i="2" s="1"/>
  <c r="L102" i="2" a="1"/>
  <c r="L102" i="2" s="1"/>
  <c r="L211" i="2" a="1"/>
  <c r="L211" i="2" s="1"/>
  <c r="L4" i="2" a="1"/>
  <c r="L4" i="2" s="1"/>
  <c r="L20" i="2" a="1"/>
  <c r="L20" i="2" s="1"/>
  <c r="L36" i="2" a="1"/>
  <c r="L36" i="2" s="1"/>
  <c r="L52" i="2" a="1"/>
  <c r="L52" i="2" s="1"/>
  <c r="L68" i="2" a="1"/>
  <c r="L68" i="2" s="1"/>
  <c r="L84" i="2" a="1"/>
  <c r="L84" i="2" s="1"/>
  <c r="L100" i="2" a="1"/>
  <c r="L100" i="2" s="1"/>
  <c r="L116" i="2" a="1"/>
  <c r="L116" i="2" s="1"/>
  <c r="L132" i="2" a="1"/>
  <c r="L132" i="2" s="1"/>
  <c r="L153" i="2" a="1"/>
  <c r="L153" i="2" s="1"/>
  <c r="L7" i="2" a="1"/>
  <c r="L7" i="2" s="1"/>
  <c r="L23" i="2" a="1"/>
  <c r="L23" i="2" s="1"/>
  <c r="L39" i="2" a="1"/>
  <c r="L39" i="2" s="1"/>
  <c r="L55" i="2" a="1"/>
  <c r="L55" i="2" s="1"/>
  <c r="L71" i="2" a="1"/>
  <c r="L71" i="2" s="1"/>
  <c r="L87" i="2" a="1"/>
  <c r="L87" i="2" s="1"/>
  <c r="L103" i="2" a="1"/>
  <c r="L103" i="2" s="1"/>
  <c r="L119" i="2" a="1"/>
  <c r="L119" i="2" s="1"/>
  <c r="L135" i="2" a="1"/>
  <c r="L135" i="2" s="1"/>
  <c r="L151" i="2" a="1"/>
  <c r="L151" i="2" s="1"/>
  <c r="L167" i="2" a="1"/>
  <c r="L167" i="2" s="1"/>
  <c r="L183" i="2" a="1"/>
  <c r="L183" i="2" s="1"/>
  <c r="L199" i="2" a="1"/>
  <c r="L199" i="2" s="1"/>
  <c r="L215" i="2" a="1"/>
  <c r="L215" i="2" s="1"/>
  <c r="L231" i="2" a="1"/>
  <c r="L231" i="2" s="1"/>
  <c r="L247" i="2" a="1"/>
  <c r="L247" i="2" s="1"/>
  <c r="L263" i="2" a="1"/>
  <c r="L263" i="2" s="1"/>
  <c r="L279" i="2" a="1"/>
  <c r="L279" i="2" s="1"/>
  <c r="L140" i="2" a="1"/>
  <c r="L140" i="2" s="1"/>
  <c r="L180" i="2" a="1"/>
  <c r="L180" i="2" s="1"/>
  <c r="L99" i="2" a="1"/>
  <c r="L99" i="2" s="1"/>
  <c r="L179" i="2" a="1"/>
  <c r="L179" i="2" s="1"/>
  <c r="L220" i="2" a="1"/>
  <c r="L220" i="2" s="1"/>
  <c r="L270" i="2" a="1"/>
  <c r="L270" i="2" s="1"/>
  <c r="L40" i="2" a="1"/>
  <c r="L40" i="2" s="1"/>
  <c r="L109" i="2" a="1"/>
  <c r="L109" i="2" s="1"/>
  <c r="L173" i="2" a="1"/>
  <c r="L173" i="2" s="1"/>
  <c r="L216" i="2" a="1"/>
  <c r="L216" i="2" s="1"/>
  <c r="L265" i="2" a="1"/>
  <c r="L265" i="2" s="1"/>
  <c r="L27" i="2" a="1"/>
  <c r="L27" i="2" s="1"/>
  <c r="L86" i="2" a="1"/>
  <c r="L86" i="2" s="1"/>
  <c r="L150" i="2" a="1"/>
  <c r="L150" i="2" s="1"/>
  <c r="L208" i="2" a="1"/>
  <c r="L208" i="2" s="1"/>
  <c r="L254" i="2" a="1"/>
  <c r="L254" i="2" s="1"/>
  <c r="L5" i="2" a="1"/>
  <c r="L5" i="2" s="1"/>
  <c r="L37" i="2" a="1"/>
  <c r="L37" i="2" s="1"/>
  <c r="L69" i="2" a="1"/>
  <c r="L69" i="2" s="1"/>
  <c r="L101" i="2" a="1"/>
  <c r="L101" i="2" s="1"/>
  <c r="L133" i="2" a="1"/>
  <c r="L133" i="2" s="1"/>
  <c r="L165" i="2" a="1"/>
  <c r="L165" i="2" s="1"/>
  <c r="L189" i="2" a="1"/>
  <c r="L189" i="2" s="1"/>
  <c r="L214" i="2" a="1"/>
  <c r="L214" i="2" s="1"/>
  <c r="L232" i="2" a="1"/>
  <c r="L232" i="2" s="1"/>
  <c r="L253" i="2" a="1"/>
  <c r="L253" i="2" s="1"/>
  <c r="L278" i="2" a="1"/>
  <c r="L278" i="2" s="1"/>
  <c r="L14" i="2" a="1"/>
  <c r="L14" i="2" s="1"/>
  <c r="L62" i="2" a="1"/>
  <c r="L62" i="2" s="1"/>
  <c r="L110" i="2" a="1"/>
  <c r="L110" i="2" s="1"/>
  <c r="L163" i="2" a="1"/>
  <c r="L163" i="2" s="1"/>
  <c r="L213" i="2" a="1"/>
  <c r="L213" i="2" s="1"/>
  <c r="L252" i="2" a="1"/>
  <c r="L252" i="2" s="1"/>
  <c r="L291" i="2" a="1"/>
  <c r="L291" i="2" s="1"/>
  <c r="L45" i="2" a="1"/>
  <c r="L45" i="2" s="1"/>
  <c r="L104" i="2" a="1"/>
  <c r="L104" i="2" s="1"/>
  <c r="L168" i="2" a="1"/>
  <c r="L168" i="2" s="1"/>
  <c r="L219" i="2" a="1"/>
  <c r="L219" i="2" s="1"/>
  <c r="L262" i="2" a="1"/>
  <c r="L262" i="2" s="1"/>
  <c r="L22" i="2" a="1"/>
  <c r="L22" i="2" s="1"/>
  <c r="L91" i="2" a="1"/>
  <c r="L91" i="2" s="1"/>
  <c r="L155" i="2" a="1"/>
  <c r="L155" i="2" s="1"/>
  <c r="L204" i="2" a="1"/>
  <c r="L204" i="2" s="1"/>
  <c r="L243" i="2" a="1"/>
  <c r="L243" i="2" s="1"/>
  <c r="L289" i="2" a="1"/>
  <c r="L289" i="2" s="1"/>
  <c r="L108" i="2" a="1"/>
  <c r="L108" i="2" s="1"/>
  <c r="L63" i="2" a="1"/>
  <c r="L63" i="2" s="1"/>
  <c r="L95" i="2" a="1"/>
  <c r="L95" i="2" s="1"/>
  <c r="L127" i="2" a="1"/>
  <c r="L127" i="2" s="1"/>
  <c r="L159" i="2" a="1"/>
  <c r="L159" i="2" s="1"/>
  <c r="L191" i="2" a="1"/>
  <c r="L191" i="2" s="1"/>
  <c r="L223" i="2" a="1"/>
  <c r="L223" i="2" s="1"/>
  <c r="L255" i="2" a="1"/>
  <c r="L255" i="2" s="1"/>
  <c r="L287" i="2" a="1"/>
  <c r="L287" i="2" s="1"/>
  <c r="L51" i="2" a="1"/>
  <c r="L51" i="2" s="1"/>
  <c r="L195" i="2" a="1"/>
  <c r="L195" i="2" s="1"/>
  <c r="L288" i="2" a="1"/>
  <c r="L288" i="2" s="1"/>
  <c r="L136" i="2" a="1"/>
  <c r="L136" i="2" s="1"/>
  <c r="L244" i="2" a="1"/>
  <c r="L244" i="2" s="1"/>
  <c r="L54" i="2" a="1"/>
  <c r="L54" i="2" s="1"/>
  <c r="L190" i="2" a="1"/>
  <c r="L190" i="2" s="1"/>
  <c r="L272" i="2" a="1"/>
  <c r="L272" i="2" s="1"/>
  <c r="L53" i="2" a="1"/>
  <c r="L53" i="2" s="1"/>
  <c r="L117" i="2" a="1"/>
  <c r="L117" i="2" s="1"/>
  <c r="L181" i="2" a="1"/>
  <c r="L181" i="2" s="1"/>
  <c r="L221" i="2" a="1"/>
  <c r="L221" i="2" s="1"/>
  <c r="L264" i="2" a="1"/>
  <c r="L264" i="2" s="1"/>
  <c r="L35" i="2" a="1"/>
  <c r="L35" i="2" s="1"/>
  <c r="L131" i="2" a="1"/>
  <c r="L131" i="2" s="1"/>
  <c r="L238" i="2" a="1"/>
  <c r="L238" i="2" s="1"/>
  <c r="L24" i="2" a="1"/>
  <c r="L24" i="2" s="1"/>
  <c r="L141" i="2" a="1"/>
  <c r="L141" i="2" s="1"/>
  <c r="L237" i="2" a="1"/>
  <c r="L237" i="2" s="1"/>
  <c r="L59" i="2" a="1"/>
  <c r="L59" i="2" s="1"/>
  <c r="L182" i="2" a="1"/>
  <c r="L182" i="2" s="1"/>
  <c r="L268" i="2" a="1"/>
  <c r="L268" i="2" s="1"/>
  <c r="L9" i="2" a="1"/>
  <c r="L9" i="2" s="1"/>
  <c r="L41" i="2" a="1"/>
  <c r="L41" i="2" s="1"/>
  <c r="L57" i="2" a="1"/>
  <c r="L57" i="2" s="1"/>
  <c r="L73" i="2" a="1"/>
  <c r="L73" i="2" s="1"/>
  <c r="L105" i="2" a="1"/>
  <c r="L105" i="2" s="1"/>
  <c r="L137" i="2" a="1"/>
  <c r="L137" i="2" s="1"/>
  <c r="L42" i="2" a="1"/>
  <c r="L42" i="2" s="1"/>
  <c r="L74" i="2" a="1"/>
  <c r="L74" i="2" s="1"/>
  <c r="L106" i="2" a="1"/>
  <c r="L106" i="2" s="1"/>
  <c r="L138" i="2" a="1"/>
  <c r="L138" i="2" s="1"/>
  <c r="L170" i="2" a="1"/>
  <c r="L170" i="2" s="1"/>
  <c r="L202" i="2" a="1"/>
  <c r="L202" i="2" s="1"/>
  <c r="L234" i="2" a="1"/>
  <c r="L234" i="2" s="1"/>
  <c r="L266" i="2" a="1"/>
  <c r="L266" i="2" s="1"/>
  <c r="L156" i="2" a="1"/>
  <c r="L156" i="2" s="1"/>
  <c r="L126" i="2" a="1"/>
  <c r="L126" i="2" s="1"/>
  <c r="L227" i="2" a="1"/>
  <c r="L227" i="2" s="1"/>
  <c r="L61" i="2" a="1"/>
  <c r="L61" i="2" s="1"/>
  <c r="L184" i="2" a="1"/>
  <c r="L184" i="2" s="1"/>
  <c r="L276" i="2" a="1"/>
  <c r="L276" i="2" s="1"/>
  <c r="L107" i="2" a="1"/>
  <c r="L107" i="2" s="1"/>
  <c r="L222" i="2" a="1"/>
  <c r="L222" i="2" s="1"/>
  <c r="L16" i="2" a="1"/>
  <c r="L16" i="2" s="1"/>
  <c r="L80" i="2" a="1"/>
  <c r="L80" i="2" s="1"/>
  <c r="L144" i="2" a="1"/>
  <c r="L144" i="2" s="1"/>
  <c r="L196" i="2" a="1"/>
  <c r="L196" i="2" s="1"/>
  <c r="L235" i="2" a="1"/>
  <c r="L235" i="2" s="1"/>
  <c r="L281" i="2" a="1"/>
  <c r="L281" i="2" s="1"/>
  <c r="L67" i="2" a="1"/>
  <c r="L67" i="2" s="1"/>
  <c r="L174" i="2" a="1"/>
  <c r="L174" i="2" s="1"/>
  <c r="L259" i="2" a="1"/>
  <c r="L259" i="2" s="1"/>
  <c r="L56" i="2" a="1"/>
  <c r="L56" i="2" s="1"/>
  <c r="L187" i="2" a="1"/>
  <c r="L187" i="2" s="1"/>
  <c r="L230" i="2" a="1"/>
  <c r="L230" i="2" s="1"/>
  <c r="L43" i="2" a="1"/>
  <c r="L43" i="2" s="1"/>
  <c r="L171" i="2" a="1"/>
  <c r="L171" i="2" s="1"/>
  <c r="L257" i="2" a="1"/>
  <c r="L257" i="2" s="1"/>
</calcChain>
</file>

<file path=xl/sharedStrings.xml><?xml version="1.0" encoding="utf-8"?>
<sst xmlns="http://schemas.openxmlformats.org/spreadsheetml/2006/main" count="10221" uniqueCount="1603">
  <si>
    <t>PRENOM</t>
  </si>
  <si>
    <t>Bahida Ibtissam</t>
  </si>
  <si>
    <t>El Jamai GHITA</t>
  </si>
  <si>
    <t>EL MANIAI Firdaous</t>
  </si>
  <si>
    <t>Nom &amp; Prénom :</t>
  </si>
  <si>
    <t>Gestion</t>
  </si>
  <si>
    <t>Règlement</t>
  </si>
  <si>
    <t>Date</t>
  </si>
  <si>
    <t>ID</t>
  </si>
  <si>
    <t>Manager</t>
  </si>
  <si>
    <t>UM</t>
  </si>
  <si>
    <t>compétence</t>
  </si>
  <si>
    <t>MESNAOUI  RYM</t>
  </si>
  <si>
    <t>S813314</t>
  </si>
  <si>
    <t>ABDOULAYE NDIYAE</t>
  </si>
  <si>
    <t>Bendoumou Fadwa</t>
  </si>
  <si>
    <t>G2P</t>
  </si>
  <si>
    <t>NAJIB  Amal</t>
  </si>
  <si>
    <t>S815433</t>
  </si>
  <si>
    <t>BJITAR   YASSINE</t>
  </si>
  <si>
    <t>S824185</t>
  </si>
  <si>
    <t>AMRANI  Cherifa Malika</t>
  </si>
  <si>
    <t>S831297</t>
  </si>
  <si>
    <t>ABOURIDA  Soufiane</t>
  </si>
  <si>
    <t>S848388</t>
  </si>
  <si>
    <t>AHARMOUCH  Mohammed Amine</t>
  </si>
  <si>
    <t>S848389</t>
  </si>
  <si>
    <t>ALAOUI BERTETTO  Oussama</t>
  </si>
  <si>
    <t>S848391</t>
  </si>
  <si>
    <t>AL KHALES  Amina</t>
  </si>
  <si>
    <t>S849101</t>
  </si>
  <si>
    <t>EL-ALAOUI  Hajar</t>
  </si>
  <si>
    <t>S849332</t>
  </si>
  <si>
    <t>AIT OULAHSSAN  Rania</t>
  </si>
  <si>
    <t>S846348</t>
  </si>
  <si>
    <t>Bellakbir Anouar</t>
  </si>
  <si>
    <t>LUKOBEKA  Sofia</t>
  </si>
  <si>
    <t>S825017</t>
  </si>
  <si>
    <t>LACHGAR  Rokia</t>
  </si>
  <si>
    <t>S834850</t>
  </si>
  <si>
    <t>TAOUBI  Omar</t>
  </si>
  <si>
    <t>S847338</t>
  </si>
  <si>
    <t>ABDOUNE  Omar</t>
  </si>
  <si>
    <t>S844601</t>
  </si>
  <si>
    <t>ESSALEH  Salma</t>
  </si>
  <si>
    <t>S801282</t>
  </si>
  <si>
    <t>MAHMOUDI  Abderrahim</t>
  </si>
  <si>
    <t>S845151</t>
  </si>
  <si>
    <t>ROUGGANI  Driss</t>
  </si>
  <si>
    <t>S845152</t>
  </si>
  <si>
    <t>EL HACHIMI YOUSSEF</t>
  </si>
  <si>
    <t>S845153</t>
  </si>
  <si>
    <t>EL BARAMOUSSI, Khadija</t>
  </si>
  <si>
    <t>S805542</t>
  </si>
  <si>
    <t>LASFAR  Amine</t>
  </si>
  <si>
    <t>S823291</t>
  </si>
  <si>
    <t>LEMOADANE  Karima</t>
  </si>
  <si>
    <t>S807588</t>
  </si>
  <si>
    <t>EL KTIRI  Nezha</t>
  </si>
  <si>
    <t>S813485</t>
  </si>
  <si>
    <t>CHOUGAN  Kawtar</t>
  </si>
  <si>
    <t>S813494</t>
  </si>
  <si>
    <t>TOUISSA  Younes</t>
  </si>
  <si>
    <t>S814872</t>
  </si>
  <si>
    <t>BENNAOUM  Kaltoum</t>
  </si>
  <si>
    <t>S815498</t>
  </si>
  <si>
    <t>CHICOULA  Oumaima</t>
  </si>
  <si>
    <t>S843024</t>
  </si>
  <si>
    <t>EL OUARDI  Ismail</t>
  </si>
  <si>
    <t>S843375</t>
  </si>
  <si>
    <t>BENCHEIKH  Farah</t>
  </si>
  <si>
    <t>S843378</t>
  </si>
  <si>
    <t>LAMTOUNI  Anas</t>
  </si>
  <si>
    <t>S843379</t>
  </si>
  <si>
    <t>FAEZ  Khalid</t>
  </si>
  <si>
    <t>S847295</t>
  </si>
  <si>
    <t>ABOUDLAY NDIYAYE</t>
  </si>
  <si>
    <t>RAHMOUNI  Mohammed</t>
  </si>
  <si>
    <t>S847291</t>
  </si>
  <si>
    <t>EL RHANDOURI ESSMAILI  Taha</t>
  </si>
  <si>
    <t>S812589</t>
  </si>
  <si>
    <t>Zarrouki Jihane</t>
  </si>
  <si>
    <t>ELFECHTALI  Siham</t>
  </si>
  <si>
    <t>S827786</t>
  </si>
  <si>
    <t>HEIZOUNE  Selma</t>
  </si>
  <si>
    <t>S837013</t>
  </si>
  <si>
    <t>EL KAMARI  Lamiae</t>
  </si>
  <si>
    <t>S847286</t>
  </si>
  <si>
    <t>BERRADA  NADIA</t>
  </si>
  <si>
    <t>S809098</t>
  </si>
  <si>
    <t>SEMAOUI  Ghizlane</t>
  </si>
  <si>
    <t>S800920</t>
  </si>
  <si>
    <t>ELJAI  Samira</t>
  </si>
  <si>
    <t>S802046</t>
  </si>
  <si>
    <t>BALADI  Badreddine</t>
  </si>
  <si>
    <t>S847374</t>
  </si>
  <si>
    <t>AJANA  RANIA</t>
  </si>
  <si>
    <t>S825554</t>
  </si>
  <si>
    <t>BENMAKHLOUF  JIHAN</t>
  </si>
  <si>
    <t>S825557</t>
  </si>
  <si>
    <t>BENBOUJEMAA  Mohamed Amine</t>
  </si>
  <si>
    <t>S845145</t>
  </si>
  <si>
    <t>KADIRI  Mohamed Adam</t>
  </si>
  <si>
    <t>S847292</t>
  </si>
  <si>
    <t>KHARRAZ  Tissir</t>
  </si>
  <si>
    <t>S829035</t>
  </si>
  <si>
    <t>JENBIL  Rajae</t>
  </si>
  <si>
    <t>S802036</t>
  </si>
  <si>
    <t>CHORAFI  YASSIR</t>
  </si>
  <si>
    <t>S807944</t>
  </si>
  <si>
    <t>MGAME  Fatima Ezzahra</t>
  </si>
  <si>
    <t>S835082</t>
  </si>
  <si>
    <t>EL MAKHZOUMI  Yousra</t>
  </si>
  <si>
    <t>S811440</t>
  </si>
  <si>
    <t>NAHAL  QODS</t>
  </si>
  <si>
    <t>S818665</t>
  </si>
  <si>
    <t>AMGHAR  Laila</t>
  </si>
  <si>
    <t>S804341</t>
  </si>
  <si>
    <t xml:space="preserve">BEKKARI MOSTAFA AMINE </t>
  </si>
  <si>
    <t>CHENTOUFI  Hanane</t>
  </si>
  <si>
    <t>S847284</t>
  </si>
  <si>
    <t>OUNOUNA  Naima</t>
  </si>
  <si>
    <t>S801104</t>
  </si>
  <si>
    <t>JROUNDI  Kenza</t>
  </si>
  <si>
    <t>S801337</t>
  </si>
  <si>
    <t>BENBOUZID  Dounia</t>
  </si>
  <si>
    <t>S800514</t>
  </si>
  <si>
    <t>EL GHNIMI   El Hassan</t>
  </si>
  <si>
    <t>S811965</t>
  </si>
  <si>
    <t>TARFASSI  HIND</t>
  </si>
  <si>
    <t>S813436</t>
  </si>
  <si>
    <t>BOUKOUR  Mohammed</t>
  </si>
  <si>
    <t>S847294</t>
  </si>
  <si>
    <t>RACHIDI  Samia</t>
  </si>
  <si>
    <t>S847290</t>
  </si>
  <si>
    <t>LHIMEUR  Mehdi</t>
  </si>
  <si>
    <t>S829024</t>
  </si>
  <si>
    <t>SAADAOUI  Imane</t>
  </si>
  <si>
    <t>S812594</t>
  </si>
  <si>
    <t>AABANE   KARIMA</t>
  </si>
  <si>
    <t>S824151</t>
  </si>
  <si>
    <t>AHIZOUNE   Abdeali</t>
  </si>
  <si>
    <t>S846339</t>
  </si>
  <si>
    <t>ZNIBER EL BACH HAMZA</t>
  </si>
  <si>
    <t>el Fachel Mohamed</t>
  </si>
  <si>
    <t>CAMARA  Papa MALICK</t>
  </si>
  <si>
    <t>S848387</t>
  </si>
  <si>
    <t>EL ALAOUI  Zineb</t>
  </si>
  <si>
    <t>S843905</t>
  </si>
  <si>
    <t>LAQZYI  Hajar</t>
  </si>
  <si>
    <t>S838498</t>
  </si>
  <si>
    <t>ALIOUA  Mohcine</t>
  </si>
  <si>
    <t>S810363</t>
  </si>
  <si>
    <t>ALALAMI  Jamila</t>
  </si>
  <si>
    <t>S825945</t>
  </si>
  <si>
    <t>BOUHADI  Yassine</t>
  </si>
  <si>
    <t>S089672</t>
  </si>
  <si>
    <t>Diab Aicha</t>
  </si>
  <si>
    <t>ELOUADI  Ibtissem</t>
  </si>
  <si>
    <t>S802937</t>
  </si>
  <si>
    <t>BEL HOUCINE  MAHA</t>
  </si>
  <si>
    <t>S818658</t>
  </si>
  <si>
    <t>EL HADRI  SOFIA</t>
  </si>
  <si>
    <t>S806772</t>
  </si>
  <si>
    <t>BAQLOUL  Fatine</t>
  </si>
  <si>
    <t>S802500</t>
  </si>
  <si>
    <t>EDDIBA  Saoussane</t>
  </si>
  <si>
    <t>S802939</t>
  </si>
  <si>
    <t>LAHJOUMRI  Imane</t>
  </si>
  <si>
    <t>S803492</t>
  </si>
  <si>
    <t>MOUDOU  ILHAM</t>
  </si>
  <si>
    <t>S807084</t>
  </si>
  <si>
    <t>BENMESBAH  ILHAM</t>
  </si>
  <si>
    <t>S813596</t>
  </si>
  <si>
    <t>RAHHALI  lalla afaf</t>
  </si>
  <si>
    <t>S815451</t>
  </si>
  <si>
    <t>BOUKAROU  Naima</t>
  </si>
  <si>
    <t>S802050</t>
  </si>
  <si>
    <t>ASOUAB  Imane</t>
  </si>
  <si>
    <t>S835075</t>
  </si>
  <si>
    <t>NOUSSAIBI  NADIA</t>
  </si>
  <si>
    <t>S813603</t>
  </si>
  <si>
    <t>EL YAKOUTI  Bouchra</t>
  </si>
  <si>
    <t>S800781</t>
  </si>
  <si>
    <t>Imane AMER</t>
  </si>
  <si>
    <t>ROUHI  WIAME</t>
  </si>
  <si>
    <t>S818661</t>
  </si>
  <si>
    <t>CHEBRAOUI  Fatima Hadhoum</t>
  </si>
  <si>
    <t>S804039</t>
  </si>
  <si>
    <t>EL FASI  Lamiaa</t>
  </si>
  <si>
    <t>S812595</t>
  </si>
  <si>
    <t>ES-SEMLALI  Anass</t>
  </si>
  <si>
    <t>S835463</t>
  </si>
  <si>
    <t>ELHAMDOUCHI  Rajae</t>
  </si>
  <si>
    <t>S802039</t>
  </si>
  <si>
    <t>AKARBAL  AFAF</t>
  </si>
  <si>
    <t>S813600</t>
  </si>
  <si>
    <t>MESBAHI  Asmae</t>
  </si>
  <si>
    <t>S829023</t>
  </si>
  <si>
    <t>AZIZ  SIHAM</t>
  </si>
  <si>
    <t>S824152</t>
  </si>
  <si>
    <t>WANIR  Zakaria</t>
  </si>
  <si>
    <t>S800499</t>
  </si>
  <si>
    <t>ANOUAR  Lamiaa</t>
  </si>
  <si>
    <t>S835085</t>
  </si>
  <si>
    <t>MEROUANE  Assya</t>
  </si>
  <si>
    <t>S800107</t>
  </si>
  <si>
    <t>CHERGUI  MAROUANE</t>
  </si>
  <si>
    <t>S804579</t>
  </si>
  <si>
    <t>LOUKIDE  Khadija</t>
  </si>
  <si>
    <t>S800915</t>
  </si>
  <si>
    <t>BACHIR  MARIA KHADRA</t>
  </si>
  <si>
    <t>S807295</t>
  </si>
  <si>
    <t>MEJDOUBI  KARIM</t>
  </si>
  <si>
    <t>S818655</t>
  </si>
  <si>
    <t>YOUSFI  Houria</t>
  </si>
  <si>
    <t>S800754</t>
  </si>
  <si>
    <t>EL MESBAHI  MOHAMED ADNANE</t>
  </si>
  <si>
    <t>S807089</t>
  </si>
  <si>
    <t>OUJANI  Mehdi</t>
  </si>
  <si>
    <t>S811964</t>
  </si>
  <si>
    <t>BAI  Marwa</t>
  </si>
  <si>
    <t>S833819</t>
  </si>
  <si>
    <t>RAGUED  Rabie</t>
  </si>
  <si>
    <t>S801340</t>
  </si>
  <si>
    <t>FOULLANI  Imane</t>
  </si>
  <si>
    <t>S833824</t>
  </si>
  <si>
    <t>AJJOUTI  Adham</t>
  </si>
  <si>
    <t>S835466</t>
  </si>
  <si>
    <t>LAMZIBRI  Rita</t>
  </si>
  <si>
    <t>S818317</t>
  </si>
  <si>
    <t>MAALLEM  Toufik</t>
  </si>
  <si>
    <t>S800943</t>
  </si>
  <si>
    <t>CHERIF HAOUATE  Mohamed</t>
  </si>
  <si>
    <t>S815450</t>
  </si>
  <si>
    <t>SARRHINI MOUTEA  Meyriame</t>
  </si>
  <si>
    <t>S837014</t>
  </si>
  <si>
    <t>Boujenna Mohamed Amine</t>
  </si>
  <si>
    <t>Abdelakder Mariam</t>
  </si>
  <si>
    <t>Indice 3</t>
  </si>
  <si>
    <t>SABILLAH  Meryem</t>
  </si>
  <si>
    <t>S804041</t>
  </si>
  <si>
    <t>ZERHOUNI  Imane</t>
  </si>
  <si>
    <t>S836852</t>
  </si>
  <si>
    <t>RAIS  Sarah</t>
  </si>
  <si>
    <t>S842478</t>
  </si>
  <si>
    <t>HLOUTA  Fatima Zohra</t>
  </si>
  <si>
    <t>S843028</t>
  </si>
  <si>
    <t>JBARA  Hadir</t>
  </si>
  <si>
    <t>S843376</t>
  </si>
  <si>
    <t>SOUR  Soufiane</t>
  </si>
  <si>
    <t>S817497</t>
  </si>
  <si>
    <t>TAHIRI  Salah eddine</t>
  </si>
  <si>
    <t>S803493</t>
  </si>
  <si>
    <t>EL HAJJI  NAWAL</t>
  </si>
  <si>
    <t>S807942</t>
  </si>
  <si>
    <t>AZBROUY  Fatima</t>
  </si>
  <si>
    <t>S819001</t>
  </si>
  <si>
    <t>CHAHID  Loubna</t>
  </si>
  <si>
    <t>S807510</t>
  </si>
  <si>
    <t>NAIT OUHAMMOU  ILHAME</t>
  </si>
  <si>
    <t>S807943</t>
  </si>
  <si>
    <t>MAAZOUZ  Sara</t>
  </si>
  <si>
    <t>S841073</t>
  </si>
  <si>
    <t>AIT-LAZRAG  SALMA</t>
  </si>
  <si>
    <t>S825553</t>
  </si>
  <si>
    <t>Azhari Ghizlane</t>
  </si>
  <si>
    <t>SABIR  Asmaa</t>
  </si>
  <si>
    <t>S843026</t>
  </si>
  <si>
    <t>CBIDA  Ayoub</t>
  </si>
  <si>
    <t>S831733</t>
  </si>
  <si>
    <t>KRIAM  Zouhair</t>
  </si>
  <si>
    <t>S815670</t>
  </si>
  <si>
    <t>ELMOUKOUAM  Hatim</t>
  </si>
  <si>
    <t>S835081</t>
  </si>
  <si>
    <t>RERHRHAYE  Maryam</t>
  </si>
  <si>
    <t>S835087</t>
  </si>
  <si>
    <t>HMAMI  Faisal</t>
  </si>
  <si>
    <t>S837012</t>
  </si>
  <si>
    <t>EL HILALI  Aymane</t>
  </si>
  <si>
    <t>S837020</t>
  </si>
  <si>
    <t>SALIF  Hamza</t>
  </si>
  <si>
    <t>S842541</t>
  </si>
  <si>
    <t>DIOURI  Meriem</t>
  </si>
  <si>
    <t>S835382</t>
  </si>
  <si>
    <t>Fadil Nabil</t>
  </si>
  <si>
    <t>ALLITI  Rachid</t>
  </si>
  <si>
    <t>S843693</t>
  </si>
  <si>
    <t>LIMAME  Douaa</t>
  </si>
  <si>
    <t>S843690</t>
  </si>
  <si>
    <t>BELAANAYA  Samah</t>
  </si>
  <si>
    <t>S843691</t>
  </si>
  <si>
    <t>ZOUAZOU  Manal</t>
  </si>
  <si>
    <t>S839653</t>
  </si>
  <si>
    <t>ZAYANI  Zineb</t>
  </si>
  <si>
    <t>S843689</t>
  </si>
  <si>
    <t>TALHA  Soumia</t>
  </si>
  <si>
    <t>S839645</t>
  </si>
  <si>
    <t>HEBAZ  Marouane</t>
  </si>
  <si>
    <t>S840762</t>
  </si>
  <si>
    <t>Lalla Nadia Faknachi</t>
  </si>
  <si>
    <t>NDIYAE  Mahamadou Moustapha</t>
  </si>
  <si>
    <t>S843687</t>
  </si>
  <si>
    <t>BENNOUI  Ramzi</t>
  </si>
  <si>
    <t>S849094</t>
  </si>
  <si>
    <t>KHARKHACH  FAYCAL</t>
  </si>
  <si>
    <t>S087753</t>
  </si>
  <si>
    <t>AMER  AMAL</t>
  </si>
  <si>
    <t>S809284</t>
  </si>
  <si>
    <t>FILALI MOUTEI  Mohamed</t>
  </si>
  <si>
    <t>S816563</t>
  </si>
  <si>
    <t>HOUTI  Meriem</t>
  </si>
  <si>
    <t>S849098</t>
  </si>
  <si>
    <t>BENKARROUCH  Khadija</t>
  </si>
  <si>
    <t>S089671</t>
  </si>
  <si>
    <t>BOUSSOUGA  TARIK</t>
  </si>
  <si>
    <t>S811439</t>
  </si>
  <si>
    <t>ATIF  MARYA</t>
  </si>
  <si>
    <t>S807946</t>
  </si>
  <si>
    <t>KHDAIRI  Nouha</t>
  </si>
  <si>
    <t>S828081</t>
  </si>
  <si>
    <t>BERNIA  Mohammed</t>
  </si>
  <si>
    <t>S833817</t>
  </si>
  <si>
    <t>SIDIKI  Fatima-zahra</t>
  </si>
  <si>
    <t>S833827</t>
  </si>
  <si>
    <t>CHIHANI  Mohammed</t>
  </si>
  <si>
    <t>S836851</t>
  </si>
  <si>
    <t>FAITEH  Kawtar</t>
  </si>
  <si>
    <t>S843694</t>
  </si>
  <si>
    <t>CHIADMI  AHLAM</t>
  </si>
  <si>
    <t>AANEBA  Fatima-zahra</t>
  </si>
  <si>
    <t>S849100</t>
  </si>
  <si>
    <t>OUENJLI FARES  Latifa</t>
  </si>
  <si>
    <t>S843377</t>
  </si>
  <si>
    <t>OUAHI  Chiamae</t>
  </si>
  <si>
    <t>S847288</t>
  </si>
  <si>
    <t>MESKOURI  Nabila</t>
  </si>
  <si>
    <t>S843686</t>
  </si>
  <si>
    <t>TANNOUCHE BENNANI  Soukaina</t>
  </si>
  <si>
    <t>S847285</t>
  </si>
  <si>
    <t>ANNAKI  Walid</t>
  </si>
  <si>
    <t>S847293</t>
  </si>
  <si>
    <t>LACHKAR  Soufiane</t>
  </si>
  <si>
    <t>S842580</t>
  </si>
  <si>
    <t>HADDAOUI  Marouane</t>
  </si>
  <si>
    <t>S816204</t>
  </si>
  <si>
    <t>DIOP  Joseph Rene Joli Cœur</t>
  </si>
  <si>
    <t>S839651</t>
  </si>
  <si>
    <t>AAIDOUNE  MAHDI</t>
  </si>
  <si>
    <t>S809520</t>
  </si>
  <si>
    <t>Fazzani Fatima Zohra</t>
  </si>
  <si>
    <t>AJERD  MERYAM</t>
  </si>
  <si>
    <t>S818657</t>
  </si>
  <si>
    <t xml:space="preserve">SEGHROUCHNI  Khadija </t>
  </si>
  <si>
    <t>S800373</t>
  </si>
  <si>
    <t>ACHIR  Safaa</t>
  </si>
  <si>
    <t>S804044</t>
  </si>
  <si>
    <t>BENSALAH  Zoubir</t>
  </si>
  <si>
    <t>S815114</t>
  </si>
  <si>
    <t>JAHILI  SANAE</t>
  </si>
  <si>
    <t>S825562</t>
  </si>
  <si>
    <t>BENCHERKI  Soufiane</t>
  </si>
  <si>
    <t>S842536</t>
  </si>
  <si>
    <t>JELTI  Khalil</t>
  </si>
  <si>
    <t>S842540</t>
  </si>
  <si>
    <t>TAOUBANE  Narjiss</t>
  </si>
  <si>
    <t>S836850</t>
  </si>
  <si>
    <t>BEREMDANE  Hanane</t>
  </si>
  <si>
    <t>S833585</t>
  </si>
  <si>
    <t>RIZQI  Mohammed Amine</t>
  </si>
  <si>
    <t>S835468</t>
  </si>
  <si>
    <t>BENBIHI  MOHAMED REDA</t>
  </si>
  <si>
    <t>S826471</t>
  </si>
  <si>
    <t>LEBSIR  Abdellah</t>
  </si>
  <si>
    <t>S833579</t>
  </si>
  <si>
    <t xml:space="preserve">LOUDYI Mounia </t>
  </si>
  <si>
    <t>S808462</t>
  </si>
  <si>
    <t>EL KHATTABI  Rachid</t>
  </si>
  <si>
    <t>S843014</t>
  </si>
  <si>
    <t>Yachou Loubna</t>
  </si>
  <si>
    <t>CHAHBOUNE  Ibtissam</t>
  </si>
  <si>
    <t>S839655</t>
  </si>
  <si>
    <t>SIARY  Mohamed-taha</t>
  </si>
  <si>
    <t>S849093</t>
  </si>
  <si>
    <t>HIZAM  Mohamed</t>
  </si>
  <si>
    <t>S844606</t>
  </si>
  <si>
    <t>M'HAMMEDI  Khalil</t>
  </si>
  <si>
    <t>S844607</t>
  </si>
  <si>
    <t>TBAIKHI  Hamza</t>
  </si>
  <si>
    <t>S834175</t>
  </si>
  <si>
    <t>ZANEZOUN  KAOUTAR</t>
  </si>
  <si>
    <t>S809096</t>
  </si>
  <si>
    <t>AJEMAA  Mohammed Amine</t>
  </si>
  <si>
    <t>S844605</t>
  </si>
  <si>
    <t>HIBA  Latifa</t>
  </si>
  <si>
    <t>S829117</t>
  </si>
  <si>
    <t>OULFRACH  Mouad</t>
  </si>
  <si>
    <t>S839512</t>
  </si>
  <si>
    <t>MACHKOURI  Amine</t>
  </si>
  <si>
    <t>S839648</t>
  </si>
  <si>
    <t>MOMI  Hydia</t>
  </si>
  <si>
    <t>S843029</t>
  </si>
  <si>
    <t>El Haouari Youssef</t>
  </si>
  <si>
    <t>El Ahmar Jihane</t>
  </si>
  <si>
    <t>BDG</t>
  </si>
  <si>
    <t>DEBBI  Sidi Ouafi</t>
  </si>
  <si>
    <t>S844602</t>
  </si>
  <si>
    <t>BAKKALI  Hiba</t>
  </si>
  <si>
    <t>S819869</t>
  </si>
  <si>
    <t>KHLIFI  Dina</t>
  </si>
  <si>
    <t>S819871</t>
  </si>
  <si>
    <t>QABBA  Imane</t>
  </si>
  <si>
    <t>S819879</t>
  </si>
  <si>
    <t>CHITOUH  MOUNA</t>
  </si>
  <si>
    <t>S822487</t>
  </si>
  <si>
    <t>DAOUDI  SARA</t>
  </si>
  <si>
    <t>S807771</t>
  </si>
  <si>
    <t>AGUIDA  ZINEB</t>
  </si>
  <si>
    <t>S826479</t>
  </si>
  <si>
    <t>LAKHOUIDA  Safaa</t>
  </si>
  <si>
    <t>S827782</t>
  </si>
  <si>
    <t>GHYATE  Oumnia</t>
  </si>
  <si>
    <t>S828087</t>
  </si>
  <si>
    <t>DOUIRI  Badr</t>
  </si>
  <si>
    <t>S841070</t>
  </si>
  <si>
    <t>SCHAMEL  Khaoula</t>
  </si>
  <si>
    <t>S838496</t>
  </si>
  <si>
    <t>GHOULOULOU  MOHAMED ISSAM</t>
  </si>
  <si>
    <t>S817665</t>
  </si>
  <si>
    <t>CHADLI  Nawal</t>
  </si>
  <si>
    <t>S801330</t>
  </si>
  <si>
    <t>Hatim Zine El Abiddine</t>
  </si>
  <si>
    <t>BELGUERRAB  FADWA</t>
  </si>
  <si>
    <t>S809289</t>
  </si>
  <si>
    <t>NDIAYE  Aminata</t>
  </si>
  <si>
    <t>S840771</t>
  </si>
  <si>
    <t>TIHLI  Youssra</t>
  </si>
  <si>
    <t>S828480</t>
  </si>
  <si>
    <t>RIDA SBAY  Fadoua</t>
  </si>
  <si>
    <t>S812599</t>
  </si>
  <si>
    <t>CHAHID  Soukaina</t>
  </si>
  <si>
    <t>S839511</t>
  </si>
  <si>
    <t>BELAOUD  Rajae</t>
  </si>
  <si>
    <t>S836859</t>
  </si>
  <si>
    <t>AQARIDEN  Taoufik</t>
  </si>
  <si>
    <t>S843373</t>
  </si>
  <si>
    <t>IDDOUCH  Fatima</t>
  </si>
  <si>
    <t>S848390</t>
  </si>
  <si>
    <t>BAINA  Anouar</t>
  </si>
  <si>
    <t>S810916</t>
  </si>
  <si>
    <t>Fadili Fatima Zahra</t>
  </si>
  <si>
    <t>FAYE  Oumy Ngom</t>
  </si>
  <si>
    <t>S836847</t>
  </si>
  <si>
    <t>TAHIRI  Souhaila</t>
  </si>
  <si>
    <t>S839514</t>
  </si>
  <si>
    <t>ESSAHLI  Omar</t>
  </si>
  <si>
    <t>S843015</t>
  </si>
  <si>
    <t>EL ISSAOUI  Mohamed</t>
  </si>
  <si>
    <t>S843017</t>
  </si>
  <si>
    <t>TAZICHERTI  Kaoutar</t>
  </si>
  <si>
    <t>S843018</t>
  </si>
  <si>
    <t>BOUSELHAM  Mohamed Achraf</t>
  </si>
  <si>
    <t>S843016</t>
  </si>
  <si>
    <t>LABIAD  Hala</t>
  </si>
  <si>
    <t>S843019</t>
  </si>
  <si>
    <t>WAGRI  Imane</t>
  </si>
  <si>
    <t>S843020</t>
  </si>
  <si>
    <t>LOUTFI  Nousk</t>
  </si>
  <si>
    <t>S842547</t>
  </si>
  <si>
    <t>EL IDRISSI  Khaoula</t>
  </si>
  <si>
    <t>S843795</t>
  </si>
  <si>
    <t>MELYANI  Zoubeir</t>
  </si>
  <si>
    <t>S818400</t>
  </si>
  <si>
    <t>Ghalem Btissam</t>
  </si>
  <si>
    <t>BARKI  Meriem</t>
  </si>
  <si>
    <t>S843802</t>
  </si>
  <si>
    <t>HAILASS  Meriem</t>
  </si>
  <si>
    <t>S843796</t>
  </si>
  <si>
    <t>BEN LAMQADDEM  Omar</t>
  </si>
  <si>
    <t>S843798</t>
  </si>
  <si>
    <t>ZIATI  Boutaina</t>
  </si>
  <si>
    <t>S843799</t>
  </si>
  <si>
    <t>BENLZERGU  Sihame</t>
  </si>
  <si>
    <t>S843800</t>
  </si>
  <si>
    <t>BAINA   Jihane</t>
  </si>
  <si>
    <t>S821848</t>
  </si>
  <si>
    <t>RACHID  Zakaria</t>
  </si>
  <si>
    <t>S807552</t>
  </si>
  <si>
    <t>AKECHCHAR  Majdouline</t>
  </si>
  <si>
    <t>S843805</t>
  </si>
  <si>
    <t>TRICHA  Zaid</t>
  </si>
  <si>
    <t>S839516</t>
  </si>
  <si>
    <t>AOUSSAR  Samira</t>
  </si>
  <si>
    <t>S843806</t>
  </si>
  <si>
    <t>ABBASI  Mourad</t>
  </si>
  <si>
    <t>S088682</t>
  </si>
  <si>
    <t>Hramat Meriem</t>
  </si>
  <si>
    <t>BENZOUINA  Sophia</t>
  </si>
  <si>
    <t>S814873</t>
  </si>
  <si>
    <t xml:space="preserve">FEJR Mohammed  </t>
  </si>
  <si>
    <t>S808455</t>
  </si>
  <si>
    <t>EL ASSAM  Jaouad</t>
  </si>
  <si>
    <t>S803490</t>
  </si>
  <si>
    <t>ELHAMRAOUI  Nawal</t>
  </si>
  <si>
    <t>S819866</t>
  </si>
  <si>
    <t>BASLAM  Larbi</t>
  </si>
  <si>
    <t>S844604</t>
  </si>
  <si>
    <t>RIADE  AMAL</t>
  </si>
  <si>
    <t>S826478</t>
  </si>
  <si>
    <t>AMAKHIR  FATIMA</t>
  </si>
  <si>
    <t>S825555</t>
  </si>
  <si>
    <t>ERRAOUI  LAMYAA</t>
  </si>
  <si>
    <t>S806779</t>
  </si>
  <si>
    <t>AADISSI  ZAKIA</t>
  </si>
  <si>
    <t>S817667</t>
  </si>
  <si>
    <t>BELEMKADEM  WASSIM</t>
  </si>
  <si>
    <t>S824153</t>
  </si>
  <si>
    <t>MZIOUD  Chaimae</t>
  </si>
  <si>
    <t>S828481</t>
  </si>
  <si>
    <t>M'GOUNI IDRISSI  Lalla Zineb</t>
  </si>
  <si>
    <t>S829818</t>
  </si>
  <si>
    <t>SOUKANI  Khalil</t>
  </si>
  <si>
    <t>S849091</t>
  </si>
  <si>
    <t>Kawtar HMID</t>
  </si>
  <si>
    <t>OUADI  Kawtar</t>
  </si>
  <si>
    <t>S849335</t>
  </si>
  <si>
    <t>KIMAKHE  Mohammed Mahdi</t>
  </si>
  <si>
    <t>S808152</t>
  </si>
  <si>
    <t>AYOUB  Jihane</t>
  </si>
  <si>
    <t>S831736</t>
  </si>
  <si>
    <t>BOUZIANE   Nouha</t>
  </si>
  <si>
    <t>S811299</t>
  </si>
  <si>
    <t>FALIOUNE  Manar</t>
  </si>
  <si>
    <t>S849095</t>
  </si>
  <si>
    <t>DHAO  Nada</t>
  </si>
  <si>
    <t>S849102</t>
  </si>
  <si>
    <t>FADLI  Safae</t>
  </si>
  <si>
    <t>S849331</t>
  </si>
  <si>
    <t>Colonne1</t>
  </si>
  <si>
    <t>N° sinistre/contrat</t>
  </si>
  <si>
    <t>Phase</t>
  </si>
  <si>
    <t>Type demande</t>
  </si>
  <si>
    <t>Process</t>
  </si>
  <si>
    <t>Evaluation</t>
  </si>
  <si>
    <t>Analyse préalable</t>
  </si>
  <si>
    <t>Observation</t>
  </si>
  <si>
    <t>Déclaration</t>
  </si>
  <si>
    <t>Missionnement</t>
  </si>
  <si>
    <t>Formation initiale</t>
  </si>
  <si>
    <t>Cotec</t>
  </si>
  <si>
    <t>E-mail</t>
  </si>
  <si>
    <t>Justifiée</t>
  </si>
  <si>
    <t>Non justifiée</t>
  </si>
  <si>
    <t xml:space="preserve">Partielle </t>
  </si>
  <si>
    <t>Oui</t>
  </si>
  <si>
    <t>Non</t>
  </si>
  <si>
    <t>Prestataire</t>
  </si>
  <si>
    <t>Outils</t>
  </si>
  <si>
    <t>Bris_de_glaces</t>
  </si>
  <si>
    <t xml:space="preserve">Evenement  couvert ou non </t>
  </si>
  <si>
    <t>Faire une mission ou pas</t>
  </si>
  <si>
    <t>Blocage mission</t>
  </si>
  <si>
    <t>Cas de barème RC</t>
  </si>
  <si>
    <t>Procéder au règlement ou pas</t>
  </si>
  <si>
    <t>Traitement d'une activité</t>
  </si>
  <si>
    <t>Ouverture du sinistre/Non</t>
  </si>
  <si>
    <t>Ouverture d'un ou deux sinistres</t>
  </si>
  <si>
    <t>Missionner un expert terrain ou un ECR</t>
  </si>
  <si>
    <t>Prêt de véhicule</t>
  </si>
  <si>
    <t>Double Gestion</t>
  </si>
  <si>
    <t>Montant à régler</t>
  </si>
  <si>
    <t>Blocage Solaris</t>
  </si>
  <si>
    <t>Périmètre BDG ou Généraliste</t>
  </si>
  <si>
    <t>Choix de l'UP</t>
  </si>
  <si>
    <t>Eligibilité à une prestation (SAAD, GP, CVI ...)</t>
  </si>
  <si>
    <t>Frais de gardiennage</t>
  </si>
  <si>
    <t xml:space="preserve">Interpretation d'une garantie ou exclusion </t>
  </si>
  <si>
    <t>Règlement à faire par Bordereau/Virement/LCO</t>
  </si>
  <si>
    <t>Assistance agent</t>
  </si>
  <si>
    <t>Donner accord au prestataire/Non</t>
  </si>
  <si>
    <t>Périmettre d'ouverture (BDG, Généraliste, GI, Poles)</t>
  </si>
  <si>
    <t>Délivrer la PEC ou pas</t>
  </si>
  <si>
    <t>Nevada</t>
  </si>
  <si>
    <t>Recherche IP / CNG / AGIRA</t>
  </si>
  <si>
    <t>Destinataire/Bénéficiaire du Rgt</t>
  </si>
  <si>
    <t>Axapac</t>
  </si>
  <si>
    <t>Pièces à demander</t>
  </si>
  <si>
    <t>PEC à délivrer (TTC/HT, Franchise à appliquer)</t>
  </si>
  <si>
    <t>qualiprest</t>
  </si>
  <si>
    <t>Traçabilité</t>
  </si>
  <si>
    <t xml:space="preserve">Modop annulation Rgt </t>
  </si>
  <si>
    <t>Sales_force</t>
  </si>
  <si>
    <t>Expertiser ou non</t>
  </si>
  <si>
    <t>Assistance non justifiée OG</t>
  </si>
  <si>
    <t>Changement de réparateur (GP vers GNP hors secteur)</t>
  </si>
  <si>
    <t>Envoyer courrier pour complément d’information( témoignage, alcoolémie, pv…</t>
  </si>
  <si>
    <t>validation des frais annexes(accessoires,,,)</t>
  </si>
  <si>
    <t>Eléments à prendre en charge</t>
  </si>
  <si>
    <t>Edition AR</t>
  </si>
  <si>
    <t>Autres</t>
  </si>
  <si>
    <t>GSP / GDA</t>
  </si>
  <si>
    <t>Extraction CNG</t>
  </si>
  <si>
    <t>Chiffrage Ceryglass</t>
  </si>
  <si>
    <t>Préparation / Abondon du recours  </t>
  </si>
  <si>
    <t>Récupération des fonds</t>
  </si>
  <si>
    <t>Formule 8000 (KM dépassé ou négatif)</t>
  </si>
  <si>
    <t xml:space="preserve">Mise à jour sinistre suite à la réception de nouveaux éléments </t>
  </si>
  <si>
    <t>VEI (cession, leasing, …)</t>
  </si>
  <si>
    <t>Acte de gestion à effectuer</t>
  </si>
  <si>
    <t xml:space="preserve">Fraude / faux TNI / Incohérence dégâts </t>
  </si>
  <si>
    <t>Application RP</t>
  </si>
  <si>
    <t>Fraude (Alerte, Soumission, … etc)</t>
  </si>
  <si>
    <t>Cap qualité</t>
  </si>
  <si>
    <t xml:space="preserve">Crédit commercial agence </t>
  </si>
  <si>
    <t>Transférer le dossier</t>
  </si>
  <si>
    <t>Clôture ou annulation du sinistre</t>
  </si>
  <si>
    <t>Remonter le dossier</t>
  </si>
  <si>
    <t>Calcul de l’indemnité</t>
  </si>
  <si>
    <t>Procédure  AXA_AXA</t>
  </si>
  <si>
    <t>Règlement TTC / HT</t>
  </si>
  <si>
    <t xml:space="preserve">Incohérence KM </t>
  </si>
  <si>
    <t>Bénéficiaire et canal de règlement</t>
  </si>
  <si>
    <t xml:space="preserve">VE / VEI (cession, leasing, contestation VRADE …) </t>
  </si>
  <si>
    <t>Annulation de règlement / Lettre de désistement</t>
  </si>
  <si>
    <t>Source d'info</t>
  </si>
  <si>
    <t xml:space="preserve">Analyse préalable </t>
  </si>
  <si>
    <t>Contacter / Escalade</t>
  </si>
  <si>
    <t>Clôture / Annulation  du sinistre</t>
  </si>
  <si>
    <t>Gestion parallèle</t>
  </si>
  <si>
    <t xml:space="preserve">Périmettre de gestion (CSE,GI, Poles) </t>
  </si>
  <si>
    <t>Modop Missionnement</t>
  </si>
  <si>
    <t>SOLAKIT</t>
  </si>
  <si>
    <t>GI</t>
  </si>
  <si>
    <t>Aucune</t>
  </si>
  <si>
    <t>ID CITRIX</t>
  </si>
  <si>
    <t>Anciennté en Mois</t>
  </si>
  <si>
    <t>Collaborateur</t>
  </si>
  <si>
    <t>RUM</t>
  </si>
  <si>
    <t>CAS 40</t>
  </si>
  <si>
    <t>Oui régler l'assuré sur la base de la différence des valeurs</t>
  </si>
  <si>
    <t>CAS 56</t>
  </si>
  <si>
    <t>règlement de 20000 euros a transférer en France non pas mettre en instance</t>
  </si>
  <si>
    <t>dossier aux mains des sep // demander leur accord avant de procéder au règlement</t>
  </si>
  <si>
    <t>règlement fait sur le dossier correspond a la gtie corporelle// rc 100% pas de PEC</t>
  </si>
  <si>
    <t>pas de règlement // délais de prescription dépassé</t>
  </si>
  <si>
    <t>CAS 50</t>
  </si>
  <si>
    <t>voir avec l'assuré s'il compte réparé ou etre régler sur la base du rapport</t>
  </si>
  <si>
    <t>ajouter carglass depuis contact existent et lui attribuer un role pour règlement</t>
  </si>
  <si>
    <t>traitement de l'activité fiche a contacter</t>
  </si>
  <si>
    <t>CAS 30</t>
  </si>
  <si>
    <t>Ne pas délivrer de PEC</t>
  </si>
  <si>
    <t>attendre la facture de réparation pour règlement</t>
  </si>
  <si>
    <t>intervention a titre de la gtie RC</t>
  </si>
  <si>
    <t>Demander qu'on nous retourne le chéque et aviser le servie trésorerie pour obtenir leur accord avant annulation de règlement</t>
  </si>
  <si>
    <t>CAS 20</t>
  </si>
  <si>
    <t>oui procéder au règlement</t>
  </si>
  <si>
    <t>régler le client</t>
  </si>
  <si>
    <t>CAS 51</t>
  </si>
  <si>
    <t>Rglt sur la base du rapport</t>
  </si>
  <si>
    <t>RC 0% en droit commun</t>
  </si>
  <si>
    <t>conformément à la définition de la garantie appliquer 20% de vétusté</t>
  </si>
  <si>
    <t>demander au service VVA de nous générer l'activité pour débloquer le règlement</t>
  </si>
  <si>
    <t>VHL réparable // RC 0% // oui règlement dés validation de facture par l'expert</t>
  </si>
  <si>
    <t>Réglement</t>
  </si>
  <si>
    <t>Type Demande</t>
  </si>
  <si>
    <t>Analyse</t>
  </si>
  <si>
    <t>Historique</t>
  </si>
  <si>
    <t xml:space="preserve">test test </t>
  </si>
  <si>
    <t>fghfgh</t>
  </si>
  <si>
    <t xml:space="preserve">Test </t>
  </si>
  <si>
    <t/>
  </si>
  <si>
    <t>ID_Citrix</t>
  </si>
  <si>
    <t>Nom</t>
  </si>
  <si>
    <t>Prenom</t>
  </si>
  <si>
    <t>Team</t>
  </si>
  <si>
    <t>Competence</t>
  </si>
  <si>
    <t>Statut</t>
  </si>
  <si>
    <t>Gender</t>
  </si>
  <si>
    <t>Birth_Date</t>
  </si>
  <si>
    <t>Date_In</t>
  </si>
  <si>
    <t>MESNAOUI </t>
  </si>
  <si>
    <t>RYM</t>
  </si>
  <si>
    <t>Adrien Dupont</t>
  </si>
  <si>
    <t>Agent</t>
  </si>
  <si>
    <t>Femel</t>
  </si>
  <si>
    <t>NAJIB </t>
  </si>
  <si>
    <t>Amal</t>
  </si>
  <si>
    <t>BJITAR  </t>
  </si>
  <si>
    <t>YASSINE</t>
  </si>
  <si>
    <t>Mal</t>
  </si>
  <si>
    <t>AMRANI </t>
  </si>
  <si>
    <t>Cherifa Malika</t>
  </si>
  <si>
    <t>ABOURIDA </t>
  </si>
  <si>
    <t>Soufiane</t>
  </si>
  <si>
    <t>AHARMOUCH </t>
  </si>
  <si>
    <t>Mohammed Amine</t>
  </si>
  <si>
    <t>ALAOUI</t>
  </si>
  <si>
    <t>BERTETTO  Oussama</t>
  </si>
  <si>
    <t>ALKHALES  Amina</t>
  </si>
  <si>
    <t>ALKHALES </t>
  </si>
  <si>
    <t>Amina</t>
  </si>
  <si>
    <t>EL-ALAOUI </t>
  </si>
  <si>
    <t>Hajar</t>
  </si>
  <si>
    <t>AITOULAHSSAN  Rania</t>
  </si>
  <si>
    <t>AITOULAHSSAN </t>
  </si>
  <si>
    <t>Rania</t>
  </si>
  <si>
    <t>Benoît Lemoine</t>
  </si>
  <si>
    <t>LUKOBEKA </t>
  </si>
  <si>
    <t>Sofia</t>
  </si>
  <si>
    <t>LACHGAR </t>
  </si>
  <si>
    <t>Rokia</t>
  </si>
  <si>
    <t>TAOUBI </t>
  </si>
  <si>
    <t>Omar</t>
  </si>
  <si>
    <t>ABDOUNE </t>
  </si>
  <si>
    <t>ESSALEH </t>
  </si>
  <si>
    <t>Salma</t>
  </si>
  <si>
    <t>MAHMOUDI </t>
  </si>
  <si>
    <t>Abderrahim</t>
  </si>
  <si>
    <t>ROUGGANI </t>
  </si>
  <si>
    <t>Driss</t>
  </si>
  <si>
    <t>ELHACHIMI YOUSSEF</t>
  </si>
  <si>
    <t>ELHACHIMI</t>
  </si>
  <si>
    <t>YOUSSEF</t>
  </si>
  <si>
    <t>ELBARAMOUSSI, Khadija</t>
  </si>
  <si>
    <t>ELBARAMOUSSI,</t>
  </si>
  <si>
    <t>Khadija</t>
  </si>
  <si>
    <t>LASFAR </t>
  </si>
  <si>
    <t>Amine</t>
  </si>
  <si>
    <t>Brigitte Leclair</t>
  </si>
  <si>
    <t>LEMOADANE </t>
  </si>
  <si>
    <t>Karima</t>
  </si>
  <si>
    <t>ELKTIRI  Nezha</t>
  </si>
  <si>
    <t>ELKTIRI </t>
  </si>
  <si>
    <t>Nezha</t>
  </si>
  <si>
    <t>CHOUGAN </t>
  </si>
  <si>
    <t>Kawtar</t>
  </si>
  <si>
    <t>TOUISSA </t>
  </si>
  <si>
    <t>Younes</t>
  </si>
  <si>
    <t>BENNAOUM </t>
  </si>
  <si>
    <t>Kaltoum</t>
  </si>
  <si>
    <t>CHICOULA </t>
  </si>
  <si>
    <t>Oumaima</t>
  </si>
  <si>
    <t>ELOUARDI  Ismail</t>
  </si>
  <si>
    <t>ELOUARDI </t>
  </si>
  <si>
    <t>Ismail</t>
  </si>
  <si>
    <t>BENCHEIKH </t>
  </si>
  <si>
    <t>Farah</t>
  </si>
  <si>
    <t>LAMTOUNI </t>
  </si>
  <si>
    <t>Anas</t>
  </si>
  <si>
    <t>FAEZ </t>
  </si>
  <si>
    <t>Khalid</t>
  </si>
  <si>
    <t>Alexandre Durand</t>
  </si>
  <si>
    <t>RAHMOUNI </t>
  </si>
  <si>
    <t>Mohammed</t>
  </si>
  <si>
    <t>ELRHANDOURI ESSMAILI  Taha</t>
  </si>
  <si>
    <t>ELRHANDOURI</t>
  </si>
  <si>
    <t>ESSMAILI  Taha</t>
  </si>
  <si>
    <t>Isabelle Martin</t>
  </si>
  <si>
    <t>ELFECHTALI </t>
  </si>
  <si>
    <t>Siham</t>
  </si>
  <si>
    <t>HEIZOUNE </t>
  </si>
  <si>
    <t>Selma</t>
  </si>
  <si>
    <t>ELKAMARI  Lamiae</t>
  </si>
  <si>
    <t>ELKAMARI </t>
  </si>
  <si>
    <t>Lamiae</t>
  </si>
  <si>
    <t>Elony Luccy</t>
  </si>
  <si>
    <t>BERRADA </t>
  </si>
  <si>
    <t>NADIA</t>
  </si>
  <si>
    <t>SEMAOUI </t>
  </si>
  <si>
    <t>Ghizlane</t>
  </si>
  <si>
    <t>ELJAI </t>
  </si>
  <si>
    <t>Samira</t>
  </si>
  <si>
    <t>BALADI </t>
  </si>
  <si>
    <t>Badreddine</t>
  </si>
  <si>
    <t>AJANA </t>
  </si>
  <si>
    <t>RANIA</t>
  </si>
  <si>
    <t>BENMAKHLOUF </t>
  </si>
  <si>
    <t>JIHAN</t>
  </si>
  <si>
    <t>BENBOUJEMAA </t>
  </si>
  <si>
    <t>Mohamed Amine</t>
  </si>
  <si>
    <t>KADIRI </t>
  </si>
  <si>
    <t>Mohamed Adam</t>
  </si>
  <si>
    <t>KHARRAZ </t>
  </si>
  <si>
    <t>Tissir</t>
  </si>
  <si>
    <t>JENBIL </t>
  </si>
  <si>
    <t>Rajae</t>
  </si>
  <si>
    <t>CHORAFI </t>
  </si>
  <si>
    <t>YASSIR</t>
  </si>
  <si>
    <t>MGAME </t>
  </si>
  <si>
    <t>Fatima Ezzahra</t>
  </si>
  <si>
    <t>ELMAKHZOUMI  Yousra</t>
  </si>
  <si>
    <t>ELMAKHZOUMI </t>
  </si>
  <si>
    <t>Yousra</t>
  </si>
  <si>
    <t>NAHAL </t>
  </si>
  <si>
    <t>QODS</t>
  </si>
  <si>
    <t>AMGHAR </t>
  </si>
  <si>
    <t>Laila</t>
  </si>
  <si>
    <t>Michel Lefevre</t>
  </si>
  <si>
    <t>CHENTOUFI </t>
  </si>
  <si>
    <t>Hanane</t>
  </si>
  <si>
    <t>OUNOUNA </t>
  </si>
  <si>
    <t>Naima</t>
  </si>
  <si>
    <t>JROUNDI </t>
  </si>
  <si>
    <t>Kenza</t>
  </si>
  <si>
    <t>BENBOUZID </t>
  </si>
  <si>
    <t>Dounia</t>
  </si>
  <si>
    <t>ELGHNIMI   El Hassan</t>
  </si>
  <si>
    <t>ELGHNIMI  </t>
  </si>
  <si>
    <t>El Hassan</t>
  </si>
  <si>
    <t>TARFASSI </t>
  </si>
  <si>
    <t>HIND</t>
  </si>
  <si>
    <t>BOUKOUR </t>
  </si>
  <si>
    <t>RACHIDI </t>
  </si>
  <si>
    <t>Samia</t>
  </si>
  <si>
    <t>LHIMEUR </t>
  </si>
  <si>
    <t>Mehdi</t>
  </si>
  <si>
    <t>SAADAOUI </t>
  </si>
  <si>
    <t>Imane</t>
  </si>
  <si>
    <t>AABANE</t>
  </si>
  <si>
    <t>  KARIMA</t>
  </si>
  <si>
    <t>AHIZOUNE  </t>
  </si>
  <si>
    <t>Abdeali</t>
  </si>
  <si>
    <t>Henri Leclerc</t>
  </si>
  <si>
    <t>elFachel Mohamed</t>
  </si>
  <si>
    <t>CAMARA </t>
  </si>
  <si>
    <t>Papa MALICK</t>
  </si>
  <si>
    <t>ELALAOUI  Zineb</t>
  </si>
  <si>
    <t>ELALAOUI </t>
  </si>
  <si>
    <t>Zineb</t>
  </si>
  <si>
    <t>LAQZYI </t>
  </si>
  <si>
    <t>Charlotte Dubois</t>
  </si>
  <si>
    <t>ALIOUA </t>
  </si>
  <si>
    <t>Mohcine</t>
  </si>
  <si>
    <t>ALALAMI </t>
  </si>
  <si>
    <t>Jamila</t>
  </si>
  <si>
    <t>BOUHADI </t>
  </si>
  <si>
    <t>Yassine</t>
  </si>
  <si>
    <t>Claudine Lemoine</t>
  </si>
  <si>
    <t>ELOUADI </t>
  </si>
  <si>
    <t>Ibtissem</t>
  </si>
  <si>
    <t>BELHOUCINE  MAHA</t>
  </si>
  <si>
    <t>BELHOUCINE </t>
  </si>
  <si>
    <t>MAHA</t>
  </si>
  <si>
    <t>ELHADRI  SOFIA</t>
  </si>
  <si>
    <t>ELHADRI </t>
  </si>
  <si>
    <t>SOFIA</t>
  </si>
  <si>
    <t>BAQLOUL </t>
  </si>
  <si>
    <t>Fatine</t>
  </si>
  <si>
    <t>EDDIBA </t>
  </si>
  <si>
    <t>Saoussane</t>
  </si>
  <si>
    <t>LAHJOUMRI </t>
  </si>
  <si>
    <t>MOUDOU </t>
  </si>
  <si>
    <t>ILHAM</t>
  </si>
  <si>
    <t>BENMESBAH </t>
  </si>
  <si>
    <t>RAHHALI </t>
  </si>
  <si>
    <t>lalla afaf</t>
  </si>
  <si>
    <t>BOUKAROU </t>
  </si>
  <si>
    <t>ASOUAB </t>
  </si>
  <si>
    <t>NOUSSAIBI </t>
  </si>
  <si>
    <t>ELYAKOUTI  Bouchra</t>
  </si>
  <si>
    <t>ELYAKOUTI </t>
  </si>
  <si>
    <t>Bouchra</t>
  </si>
  <si>
    <t>Emilie Robert</t>
  </si>
  <si>
    <t>ROUHI </t>
  </si>
  <si>
    <t>WIAME</t>
  </si>
  <si>
    <t>CHEBRAOUI </t>
  </si>
  <si>
    <t>Fatima Hadhoum</t>
  </si>
  <si>
    <t>ELFASI  Lamiaa</t>
  </si>
  <si>
    <t>ELFASI </t>
  </si>
  <si>
    <t>Lamiaa</t>
  </si>
  <si>
    <t>ES-SEMLALI </t>
  </si>
  <si>
    <t>Anass</t>
  </si>
  <si>
    <t>ELHAMDOUCHI </t>
  </si>
  <si>
    <t>AKARBAL </t>
  </si>
  <si>
    <t>AFAF</t>
  </si>
  <si>
    <t>MESBAHI </t>
  </si>
  <si>
    <t>Asmae</t>
  </si>
  <si>
    <t>AZIZ </t>
  </si>
  <si>
    <t>SIHAM</t>
  </si>
  <si>
    <t>WANIR </t>
  </si>
  <si>
    <t>Zakaria</t>
  </si>
  <si>
    <t>ANOUAR </t>
  </si>
  <si>
    <t>MEROUANE </t>
  </si>
  <si>
    <t>Assya</t>
  </si>
  <si>
    <t>CHERGUI </t>
  </si>
  <si>
    <t>MAROUANE</t>
  </si>
  <si>
    <t>LOUKIDE </t>
  </si>
  <si>
    <t>BACHIR </t>
  </si>
  <si>
    <t>MARIA KHADRA</t>
  </si>
  <si>
    <t>MEJDOUBI </t>
  </si>
  <si>
    <t>KARIM</t>
  </si>
  <si>
    <t>YOUSFI </t>
  </si>
  <si>
    <t>Houria</t>
  </si>
  <si>
    <t>ELMESBAHI  MOHAMED ADNANE</t>
  </si>
  <si>
    <t>ELMESBAHI </t>
  </si>
  <si>
    <t>MOHAMED ADNANE</t>
  </si>
  <si>
    <t>OUJANI </t>
  </si>
  <si>
    <t>BAI </t>
  </si>
  <si>
    <t>Marwa</t>
  </si>
  <si>
    <t>RAGUED </t>
  </si>
  <si>
    <t>Rabie</t>
  </si>
  <si>
    <t>FOULLANI </t>
  </si>
  <si>
    <t>AJJOUTI </t>
  </si>
  <si>
    <t>Adham</t>
  </si>
  <si>
    <t>LAMZIBRI </t>
  </si>
  <si>
    <t>Rita</t>
  </si>
  <si>
    <t>MAALLEM </t>
  </si>
  <si>
    <t>Toufik</t>
  </si>
  <si>
    <t>CHERIF</t>
  </si>
  <si>
    <t>HAOUATE  Mohamed</t>
  </si>
  <si>
    <t>SARRHINI</t>
  </si>
  <si>
    <t>MOUTEA  Meyriame</t>
  </si>
  <si>
    <t>Mathieu Durand</t>
  </si>
  <si>
    <t>SABILLAH </t>
  </si>
  <si>
    <t>Meryem</t>
  </si>
  <si>
    <t>ZERHOUNI </t>
  </si>
  <si>
    <t>RAIS </t>
  </si>
  <si>
    <t>Sarah</t>
  </si>
  <si>
    <t>HLOUTA </t>
  </si>
  <si>
    <t>Fatima Zohra</t>
  </si>
  <si>
    <t>JBARA </t>
  </si>
  <si>
    <t>Hadir</t>
  </si>
  <si>
    <t>SOUR </t>
  </si>
  <si>
    <t>TAHIRI </t>
  </si>
  <si>
    <t>Salah eddine</t>
  </si>
  <si>
    <t>ELHAJJI  NAWAL</t>
  </si>
  <si>
    <t>ELHAJJI </t>
  </si>
  <si>
    <t>NAWAL</t>
  </si>
  <si>
    <t>AZBROUY</t>
  </si>
  <si>
    <t> Fatima</t>
  </si>
  <si>
    <t>CHAHID </t>
  </si>
  <si>
    <t>Loubna</t>
  </si>
  <si>
    <t>NAIT</t>
  </si>
  <si>
    <t>OUHAMMOU  ILHAME</t>
  </si>
  <si>
    <t>MAAZOUZ </t>
  </si>
  <si>
    <t>Sara</t>
  </si>
  <si>
    <t>AIT-LAZRAG </t>
  </si>
  <si>
    <t>SALMA</t>
  </si>
  <si>
    <t>Aurore Lefèvre</t>
  </si>
  <si>
    <t>SABIR </t>
  </si>
  <si>
    <t>Asmaa</t>
  </si>
  <si>
    <t>CBIDA </t>
  </si>
  <si>
    <t>Ayoub</t>
  </si>
  <si>
    <t>KRIAM </t>
  </si>
  <si>
    <t>Zouhair</t>
  </si>
  <si>
    <t>ELMOUKOUAM </t>
  </si>
  <si>
    <t>Hatim</t>
  </si>
  <si>
    <t>RERHRHAYE </t>
  </si>
  <si>
    <t>Maryam</t>
  </si>
  <si>
    <t>HMAMI </t>
  </si>
  <si>
    <t>Faisal</t>
  </si>
  <si>
    <t>ELHILALI  Aymane</t>
  </si>
  <si>
    <t>ELHILALI </t>
  </si>
  <si>
    <t>Aymane</t>
  </si>
  <si>
    <t>SALIF </t>
  </si>
  <si>
    <t>Hamza</t>
  </si>
  <si>
    <t>DIOURI </t>
  </si>
  <si>
    <t>Meriem</t>
  </si>
  <si>
    <t>François Michel</t>
  </si>
  <si>
    <t>ALLITI </t>
  </si>
  <si>
    <t>Rachid</t>
  </si>
  <si>
    <t>LIMAME </t>
  </si>
  <si>
    <t>Douaa</t>
  </si>
  <si>
    <t>BELAANAYA </t>
  </si>
  <si>
    <t>Samah</t>
  </si>
  <si>
    <t>ZOUAZOU </t>
  </si>
  <si>
    <t>Manal</t>
  </si>
  <si>
    <t>ZAYANI </t>
  </si>
  <si>
    <t>TALHA </t>
  </si>
  <si>
    <t>Soumia</t>
  </si>
  <si>
    <t>HEBAZ </t>
  </si>
  <si>
    <t>Marouane</t>
  </si>
  <si>
    <t>Nadine Moreau</t>
  </si>
  <si>
    <t>NDIYAE </t>
  </si>
  <si>
    <t>Mahamadou Moustapha</t>
  </si>
  <si>
    <t>BENNOUI </t>
  </si>
  <si>
    <t>Ramzi</t>
  </si>
  <si>
    <t>KHARKHACH </t>
  </si>
  <si>
    <t>FAYCAL</t>
  </si>
  <si>
    <t>AMER </t>
  </si>
  <si>
    <t>AMAL</t>
  </si>
  <si>
    <t>FILALI</t>
  </si>
  <si>
    <t>MOUTEI  Mohamed</t>
  </si>
  <si>
    <t>HOUTI </t>
  </si>
  <si>
    <t>BENKARROUCH </t>
  </si>
  <si>
    <t>BOUSSOUGA </t>
  </si>
  <si>
    <t>TARIK</t>
  </si>
  <si>
    <t>ATIF </t>
  </si>
  <si>
    <t>MARYA</t>
  </si>
  <si>
    <t>KHDAIRI </t>
  </si>
  <si>
    <t>Nouha</t>
  </si>
  <si>
    <t>BERNIA </t>
  </si>
  <si>
    <t>SIDIKI </t>
  </si>
  <si>
    <t>Fatima-zahra</t>
  </si>
  <si>
    <t>CHIHANI </t>
  </si>
  <si>
    <t>FAITEH </t>
  </si>
  <si>
    <t>Alice Duval</t>
  </si>
  <si>
    <t>AANEBA </t>
  </si>
  <si>
    <t>OUENJLI</t>
  </si>
  <si>
    <t>FARES  Latifa</t>
  </si>
  <si>
    <t>OUAHI </t>
  </si>
  <si>
    <t>Chiamae</t>
  </si>
  <si>
    <t>MESKOURI </t>
  </si>
  <si>
    <t>Nabila</t>
  </si>
  <si>
    <t>TANNOUCHE</t>
  </si>
  <si>
    <t>BENNANI  Soukaina</t>
  </si>
  <si>
    <t>ANNAKI </t>
  </si>
  <si>
    <t>Walid</t>
  </si>
  <si>
    <t>LACHKAR </t>
  </si>
  <si>
    <t>HADDAOUI </t>
  </si>
  <si>
    <t>DIOP </t>
  </si>
  <si>
    <t>Joseph Rene Joli Cœur</t>
  </si>
  <si>
    <t>AAIDOUNE </t>
  </si>
  <si>
    <t>MAHDI</t>
  </si>
  <si>
    <t>Sophie Lefevre</t>
  </si>
  <si>
    <t>AJERD </t>
  </si>
  <si>
    <t>MERYAM</t>
  </si>
  <si>
    <t>SEGHROUCHNI </t>
  </si>
  <si>
    <t xml:space="preserve">Khadija </t>
  </si>
  <si>
    <t>ACHIR </t>
  </si>
  <si>
    <t>Safaa</t>
  </si>
  <si>
    <t>BENSALAH </t>
  </si>
  <si>
    <t>Zoubir</t>
  </si>
  <si>
    <t>JAHILI </t>
  </si>
  <si>
    <t>SANAE</t>
  </si>
  <si>
    <t>BENCHERKI </t>
  </si>
  <si>
    <t>JELTI </t>
  </si>
  <si>
    <t>Khalil</t>
  </si>
  <si>
    <t>TAOUBANE </t>
  </si>
  <si>
    <t>Narjiss</t>
  </si>
  <si>
    <t>BEREMDANE </t>
  </si>
  <si>
    <t>RIZQI </t>
  </si>
  <si>
    <t>BENBIHI </t>
  </si>
  <si>
    <t>MOHAMED REDA</t>
  </si>
  <si>
    <t>LEBSIR </t>
  </si>
  <si>
    <t>Abdellah</t>
  </si>
  <si>
    <t>LOUDYI</t>
  </si>
  <si>
    <t xml:space="preserve">Mounia </t>
  </si>
  <si>
    <t>ELKHATTABI  Rachid</t>
  </si>
  <si>
    <t>ELKHATTABI </t>
  </si>
  <si>
    <t>Lucie Dupuis</t>
  </si>
  <si>
    <t>CHAHBOUNE </t>
  </si>
  <si>
    <t>Ibtissam</t>
  </si>
  <si>
    <t>SIARY </t>
  </si>
  <si>
    <t>Mohamed-taha</t>
  </si>
  <si>
    <t>HIZAM </t>
  </si>
  <si>
    <t>Mohamed</t>
  </si>
  <si>
    <t>M'HAMMEDI </t>
  </si>
  <si>
    <t>TBAIKHI </t>
  </si>
  <si>
    <t>ZANEZOUN </t>
  </si>
  <si>
    <t>KAOUTAR</t>
  </si>
  <si>
    <t>AJEMAA </t>
  </si>
  <si>
    <t>HIBA </t>
  </si>
  <si>
    <t>Latifa</t>
  </si>
  <si>
    <t>OULFRACH </t>
  </si>
  <si>
    <t>Mouad</t>
  </si>
  <si>
    <t>MACHKOURI </t>
  </si>
  <si>
    <t>MOMI </t>
  </si>
  <si>
    <t>Hydia</t>
  </si>
  <si>
    <t>DEBBI </t>
  </si>
  <si>
    <t>Sidi Ouafi</t>
  </si>
  <si>
    <t>BAKKALI </t>
  </si>
  <si>
    <t>Hiba</t>
  </si>
  <si>
    <t>KHLIFI </t>
  </si>
  <si>
    <t>Dina</t>
  </si>
  <si>
    <t>QABBA </t>
  </si>
  <si>
    <t>CHITOUH </t>
  </si>
  <si>
    <t>MOUNA</t>
  </si>
  <si>
    <t>DAOUDI </t>
  </si>
  <si>
    <t>SARA</t>
  </si>
  <si>
    <t>AGUIDA </t>
  </si>
  <si>
    <t>ZINEB</t>
  </si>
  <si>
    <t>LAKHOUIDA </t>
  </si>
  <si>
    <t>GHYATE </t>
  </si>
  <si>
    <t>Oumnia</t>
  </si>
  <si>
    <t>DOUIRI </t>
  </si>
  <si>
    <t>Badr</t>
  </si>
  <si>
    <t>SCHAMEL </t>
  </si>
  <si>
    <t>Khaoula</t>
  </si>
  <si>
    <t>GHOULOULOU </t>
  </si>
  <si>
    <t>MOHAMED ISSAM</t>
  </si>
  <si>
    <t>CHADLI </t>
  </si>
  <si>
    <t>Nawal</t>
  </si>
  <si>
    <t>Henri Gauthier</t>
  </si>
  <si>
    <t>BELGUERRAB </t>
  </si>
  <si>
    <t>FADWA</t>
  </si>
  <si>
    <t>NDIAYE </t>
  </si>
  <si>
    <t>Aminata</t>
  </si>
  <si>
    <t>TIHLI </t>
  </si>
  <si>
    <t>Youssra</t>
  </si>
  <si>
    <t>RIDA</t>
  </si>
  <si>
    <t>SBAY  Fadoua</t>
  </si>
  <si>
    <t>Soukaina</t>
  </si>
  <si>
    <t>BELAOUD </t>
  </si>
  <si>
    <t>AQARIDEN </t>
  </si>
  <si>
    <t>Taoufik</t>
  </si>
  <si>
    <t>IDDOUCH </t>
  </si>
  <si>
    <t>Fatima</t>
  </si>
  <si>
    <t>BAINA </t>
  </si>
  <si>
    <t>Anouar</t>
  </si>
  <si>
    <t>Sophie Dupont</t>
  </si>
  <si>
    <t>FAYE </t>
  </si>
  <si>
    <t>Oumy Ngom</t>
  </si>
  <si>
    <t>Souhaila</t>
  </si>
  <si>
    <t>ESSAHLI </t>
  </si>
  <si>
    <t>ELISSAOUI  Mohamed</t>
  </si>
  <si>
    <t>ELISSAOUI </t>
  </si>
  <si>
    <t>TAZICHERTI </t>
  </si>
  <si>
    <t>Kaoutar</t>
  </si>
  <si>
    <t>BOUSELHAM </t>
  </si>
  <si>
    <t>Mohamed Achraf</t>
  </si>
  <si>
    <t>LABIAD </t>
  </si>
  <si>
    <t>Hala</t>
  </si>
  <si>
    <t>WAGRI </t>
  </si>
  <si>
    <t>LOUTFI </t>
  </si>
  <si>
    <t>Nousk</t>
  </si>
  <si>
    <t>ELIDRISSI  Khaoula</t>
  </si>
  <si>
    <t>ELIDRISSI </t>
  </si>
  <si>
    <t>MELYANI </t>
  </si>
  <si>
    <t>Zoubeir</t>
  </si>
  <si>
    <t>Brigitte Gauthier</t>
  </si>
  <si>
    <t>BARKI </t>
  </si>
  <si>
    <t>HAILASS </t>
  </si>
  <si>
    <t>BEN</t>
  </si>
  <si>
    <t>LAMQADDEM  Omar</t>
  </si>
  <si>
    <t>ZIATI </t>
  </si>
  <si>
    <t>Boutaina</t>
  </si>
  <si>
    <t>BENLZERGU </t>
  </si>
  <si>
    <t>Sihame</t>
  </si>
  <si>
    <t>BAINA  </t>
  </si>
  <si>
    <t>Jihane</t>
  </si>
  <si>
    <t>RACHID </t>
  </si>
  <si>
    <t>AKECHCHAR </t>
  </si>
  <si>
    <t>Majdouline</t>
  </si>
  <si>
    <t>TRICHA </t>
  </si>
  <si>
    <t>Zaid</t>
  </si>
  <si>
    <t>AOUSSAR </t>
  </si>
  <si>
    <t>ABBASI </t>
  </si>
  <si>
    <t>Mourad</t>
  </si>
  <si>
    <t>Marie Lefevre</t>
  </si>
  <si>
    <t>BENZOUINA </t>
  </si>
  <si>
    <t>Sophia</t>
  </si>
  <si>
    <t>FEJR</t>
  </si>
  <si>
    <t xml:space="preserve">Mohammed  </t>
  </si>
  <si>
    <t>ELASSAM  Jaouad</t>
  </si>
  <si>
    <t>ELASSAM </t>
  </si>
  <si>
    <t>Jaouad</t>
  </si>
  <si>
    <t>ELHAMRAOUI </t>
  </si>
  <si>
    <t>BASLAM </t>
  </si>
  <si>
    <t>Larbi</t>
  </si>
  <si>
    <t>RIADE </t>
  </si>
  <si>
    <t>AMAKHIR </t>
  </si>
  <si>
    <t>FATIMA</t>
  </si>
  <si>
    <t>ERRAOUI </t>
  </si>
  <si>
    <t>LAMYAA</t>
  </si>
  <si>
    <t>AADISSI </t>
  </si>
  <si>
    <t>ZAKIA</t>
  </si>
  <si>
    <t>BELEMKADEM </t>
  </si>
  <si>
    <t>WASSIM</t>
  </si>
  <si>
    <t>MZIOUD </t>
  </si>
  <si>
    <t>Chaimae</t>
  </si>
  <si>
    <t>M'GOUNI</t>
  </si>
  <si>
    <t>IDRISSI  Lalla Zineb</t>
  </si>
  <si>
    <t>SOUKANI </t>
  </si>
  <si>
    <t>Catherine Lambert</t>
  </si>
  <si>
    <t>OUADI </t>
  </si>
  <si>
    <t>KIMAKHE </t>
  </si>
  <si>
    <t>Mohammed Mahdi</t>
  </si>
  <si>
    <t>AYOUB </t>
  </si>
  <si>
    <t>BOUZIANE  </t>
  </si>
  <si>
    <t>FALIOUNE </t>
  </si>
  <si>
    <t>Manar</t>
  </si>
  <si>
    <t>DHAO </t>
  </si>
  <si>
    <t>Nada</t>
  </si>
  <si>
    <t>FADLI </t>
  </si>
  <si>
    <t>Safae</t>
  </si>
  <si>
    <t>S801100</t>
  </si>
  <si>
    <t>Adrien</t>
  </si>
  <si>
    <t>Dupont</t>
  </si>
  <si>
    <t>Isabel Wrises</t>
  </si>
  <si>
    <t>S801101</t>
  </si>
  <si>
    <t>Benoît</t>
  </si>
  <si>
    <t>Lemoine</t>
  </si>
  <si>
    <t>S801102</t>
  </si>
  <si>
    <t>Brigitte</t>
  </si>
  <si>
    <t>Leclair</t>
  </si>
  <si>
    <t>S801103</t>
  </si>
  <si>
    <t>Alexandre</t>
  </si>
  <si>
    <t>Durand</t>
  </si>
  <si>
    <t>S802104</t>
  </si>
  <si>
    <t>Isabelle</t>
  </si>
  <si>
    <t>Martin</t>
  </si>
  <si>
    <t>S801106</t>
  </si>
  <si>
    <t>Michel</t>
  </si>
  <si>
    <t>Lefevre</t>
  </si>
  <si>
    <t>S801107</t>
  </si>
  <si>
    <t>Henri</t>
  </si>
  <si>
    <t>Leclerc</t>
  </si>
  <si>
    <t>S801108</t>
  </si>
  <si>
    <t>Charlotte</t>
  </si>
  <si>
    <t>Dubois</t>
  </si>
  <si>
    <t>S801109</t>
  </si>
  <si>
    <t>Claudine</t>
  </si>
  <si>
    <t>S801110</t>
  </si>
  <si>
    <t>Emilie</t>
  </si>
  <si>
    <t>Robert</t>
  </si>
  <si>
    <t>S801111</t>
  </si>
  <si>
    <t>Mathieu</t>
  </si>
  <si>
    <t>S801112</t>
  </si>
  <si>
    <t>Aurore</t>
  </si>
  <si>
    <t>Lefèvre</t>
  </si>
  <si>
    <t>S801113</t>
  </si>
  <si>
    <t>François</t>
  </si>
  <si>
    <t>S801114</t>
  </si>
  <si>
    <t>Nadine</t>
  </si>
  <si>
    <t>Moreau</t>
  </si>
  <si>
    <t>S801115</t>
  </si>
  <si>
    <t>Alice</t>
  </si>
  <si>
    <t>Duval</t>
  </si>
  <si>
    <t>S801116</t>
  </si>
  <si>
    <t>Sophie</t>
  </si>
  <si>
    <t>S801117</t>
  </si>
  <si>
    <t>Lucie</t>
  </si>
  <si>
    <t>Dupuis</t>
  </si>
  <si>
    <t>S801119</t>
  </si>
  <si>
    <t>Gauthier</t>
  </si>
  <si>
    <t>S801120</t>
  </si>
  <si>
    <t>S801121</t>
  </si>
  <si>
    <t>S801122</t>
  </si>
  <si>
    <t>Marie</t>
  </si>
  <si>
    <t>S801123</t>
  </si>
  <si>
    <t>Catherine</t>
  </si>
  <si>
    <t>Lambert</t>
  </si>
  <si>
    <t>S801124</t>
  </si>
  <si>
    <t>Bendoumou</t>
  </si>
  <si>
    <t>Fadwa</t>
  </si>
  <si>
    <t>S801125</t>
  </si>
  <si>
    <t>elFachel</t>
  </si>
  <si>
    <t>S801126</t>
  </si>
  <si>
    <t>Abdelakder</t>
  </si>
  <si>
    <t>Mariam</t>
  </si>
  <si>
    <t>S801127</t>
  </si>
  <si>
    <t>ElAhmar Jihane</t>
  </si>
  <si>
    <t>ElAhmar</t>
  </si>
  <si>
    <t>S801128</t>
  </si>
  <si>
    <t>Isabel</t>
  </si>
  <si>
    <t>Wrises</t>
  </si>
  <si>
    <t>Antonio Barass</t>
  </si>
  <si>
    <t>AXA</t>
  </si>
  <si>
    <t>ROP</t>
  </si>
  <si>
    <t>S822222</t>
  </si>
  <si>
    <t>Antonio</t>
  </si>
  <si>
    <t>Barass</t>
  </si>
  <si>
    <t>RDP</t>
  </si>
  <si>
    <t>S80000</t>
  </si>
  <si>
    <t>Daoui Yassine</t>
  </si>
  <si>
    <t>Daoui</t>
  </si>
  <si>
    <t>Hyp</t>
  </si>
  <si>
    <t>Commando</t>
  </si>
  <si>
    <t>Password</t>
  </si>
  <si>
    <t>Login</t>
  </si>
  <si>
    <t>RMESNAOUI </t>
  </si>
  <si>
    <t>ANAJIB </t>
  </si>
  <si>
    <t>YBJITAR  </t>
  </si>
  <si>
    <t>CAMRANI </t>
  </si>
  <si>
    <t>SABOURIDA </t>
  </si>
  <si>
    <t>MAHARMOUCH </t>
  </si>
  <si>
    <t>BALAOUI</t>
  </si>
  <si>
    <t>AALKHALES </t>
  </si>
  <si>
    <t>HEL-ALAOUI </t>
  </si>
  <si>
    <t>RAITOULAHSSAN </t>
  </si>
  <si>
    <t>SLUKOBEKA </t>
  </si>
  <si>
    <t>RLACHGAR </t>
  </si>
  <si>
    <t>OTAOUBI </t>
  </si>
  <si>
    <t>OABDOUNE </t>
  </si>
  <si>
    <t>SESSALEH </t>
  </si>
  <si>
    <t>AMAHMOUDI </t>
  </si>
  <si>
    <t>DROUGGANI </t>
  </si>
  <si>
    <t>YELHACHIMI</t>
  </si>
  <si>
    <t>KELBARAMOUSSI,</t>
  </si>
  <si>
    <t>ALASFAR </t>
  </si>
  <si>
    <t>KLEMOADANE </t>
  </si>
  <si>
    <t>NELKTIRI </t>
  </si>
  <si>
    <t>KCHOUGAN </t>
  </si>
  <si>
    <t>YTOUISSA </t>
  </si>
  <si>
    <t>KBENNAOUM </t>
  </si>
  <si>
    <t>OCHICOULA </t>
  </si>
  <si>
    <t>IELOUARDI </t>
  </si>
  <si>
    <t>FBENCHEIKH </t>
  </si>
  <si>
    <t>ALAMTOUNI </t>
  </si>
  <si>
    <t>KFAEZ </t>
  </si>
  <si>
    <t>MRAHMOUNI </t>
  </si>
  <si>
    <t>EELRHANDOURI</t>
  </si>
  <si>
    <t>SELFECHTALI </t>
  </si>
  <si>
    <t>SHEIZOUNE </t>
  </si>
  <si>
    <t>LELKAMARI </t>
  </si>
  <si>
    <t>NBERRADA </t>
  </si>
  <si>
    <t>GSEMAOUI </t>
  </si>
  <si>
    <t>SELJAI </t>
  </si>
  <si>
    <t>BBALADI </t>
  </si>
  <si>
    <t>RAJANA </t>
  </si>
  <si>
    <t>JBENMAKHLOUF </t>
  </si>
  <si>
    <t>MBENBOUJEMAA </t>
  </si>
  <si>
    <t>MKADIRI </t>
  </si>
  <si>
    <t>TKHARRAZ </t>
  </si>
  <si>
    <t>RJENBIL </t>
  </si>
  <si>
    <t>YCHORAFI </t>
  </si>
  <si>
    <t>FMGAME </t>
  </si>
  <si>
    <t>YELMAKHZOUMI </t>
  </si>
  <si>
    <t>QNAHAL </t>
  </si>
  <si>
    <t>LAMGHAR </t>
  </si>
  <si>
    <t>HCHENTOUFI </t>
  </si>
  <si>
    <t>NOUNOUNA </t>
  </si>
  <si>
    <t>KJROUNDI </t>
  </si>
  <si>
    <t>DBENBOUZID </t>
  </si>
  <si>
    <t>EELGHNIMI  </t>
  </si>
  <si>
    <t>HTARFASSI </t>
  </si>
  <si>
    <t>MBOUKOUR </t>
  </si>
  <si>
    <t>SRACHIDI </t>
  </si>
  <si>
    <t>MLHIMEUR </t>
  </si>
  <si>
    <t>ISAADAOUI </t>
  </si>
  <si>
    <t> AABANE</t>
  </si>
  <si>
    <t>AAHIZOUNE  </t>
  </si>
  <si>
    <t>PCAMARA </t>
  </si>
  <si>
    <t>ZELALAOUI </t>
  </si>
  <si>
    <t>HLAQZYI </t>
  </si>
  <si>
    <t>MALIOUA </t>
  </si>
  <si>
    <t>JALALAMI </t>
  </si>
  <si>
    <t>YBOUHADI </t>
  </si>
  <si>
    <t>IELOUADI </t>
  </si>
  <si>
    <t>MBELHOUCINE </t>
  </si>
  <si>
    <t>SELHADRI </t>
  </si>
  <si>
    <t>FBAQLOUL </t>
  </si>
  <si>
    <t>SEDDIBA </t>
  </si>
  <si>
    <t>ILAHJOUMRI </t>
  </si>
  <si>
    <t>IMOUDOU </t>
  </si>
  <si>
    <t>IBENMESBAH </t>
  </si>
  <si>
    <t>lRAHHALI </t>
  </si>
  <si>
    <t>NBOUKAROU </t>
  </si>
  <si>
    <t>IASOUAB </t>
  </si>
  <si>
    <t>NNOUSSAIBI </t>
  </si>
  <si>
    <t>BELYAKOUTI </t>
  </si>
  <si>
    <t>WROUHI </t>
  </si>
  <si>
    <t>FCHEBRAOUI </t>
  </si>
  <si>
    <t>LELFASI </t>
  </si>
  <si>
    <t>AES-SEMLALI </t>
  </si>
  <si>
    <t>RELHAMDOUCHI </t>
  </si>
  <si>
    <t>AAKARBAL </t>
  </si>
  <si>
    <t>AMESBAHI </t>
  </si>
  <si>
    <t>SAZIZ </t>
  </si>
  <si>
    <t>ZWANIR </t>
  </si>
  <si>
    <t>LANOUAR </t>
  </si>
  <si>
    <t>AMEROUANE </t>
  </si>
  <si>
    <t>MCHERGUI </t>
  </si>
  <si>
    <t>KLOUKIDE </t>
  </si>
  <si>
    <t>MBACHIR </t>
  </si>
  <si>
    <t>KMEJDOUBI </t>
  </si>
  <si>
    <t>HYOUSFI </t>
  </si>
  <si>
    <t>MELMESBAHI </t>
  </si>
  <si>
    <t>MOUJANI </t>
  </si>
  <si>
    <t>MBAI </t>
  </si>
  <si>
    <t>RRAGUED </t>
  </si>
  <si>
    <t>IFOULLANI </t>
  </si>
  <si>
    <t>AAJJOUTI </t>
  </si>
  <si>
    <t>RLAMZIBRI </t>
  </si>
  <si>
    <t>TMAALLEM </t>
  </si>
  <si>
    <t>HCHERIF</t>
  </si>
  <si>
    <t>MSARRHINI</t>
  </si>
  <si>
    <t>MSABILLAH </t>
  </si>
  <si>
    <t>IZERHOUNI </t>
  </si>
  <si>
    <t>SRAIS </t>
  </si>
  <si>
    <t>FHLOUTA </t>
  </si>
  <si>
    <t>HJBARA </t>
  </si>
  <si>
    <t>SSOUR </t>
  </si>
  <si>
    <t>STAHIRI </t>
  </si>
  <si>
    <t>NELHAJJI </t>
  </si>
  <si>
    <t> AZBROUY</t>
  </si>
  <si>
    <t>LCHAHID </t>
  </si>
  <si>
    <t>ONAIT</t>
  </si>
  <si>
    <t>SMAAZOUZ </t>
  </si>
  <si>
    <t>SAIT-LAZRAG </t>
  </si>
  <si>
    <t>ASABIR </t>
  </si>
  <si>
    <t>ACBIDA </t>
  </si>
  <si>
    <t>ZKRIAM </t>
  </si>
  <si>
    <t>HELMOUKOUAM </t>
  </si>
  <si>
    <t>MRERHRHAYE </t>
  </si>
  <si>
    <t>FHMAMI </t>
  </si>
  <si>
    <t>AELHILALI </t>
  </si>
  <si>
    <t>HSALIF </t>
  </si>
  <si>
    <t>MDIOURI </t>
  </si>
  <si>
    <t>RALLITI </t>
  </si>
  <si>
    <t>DLIMAME </t>
  </si>
  <si>
    <t>SBELAANAYA </t>
  </si>
  <si>
    <t>MZOUAZOU </t>
  </si>
  <si>
    <t>ZZAYANI </t>
  </si>
  <si>
    <t>STALHA </t>
  </si>
  <si>
    <t>MHEBAZ </t>
  </si>
  <si>
    <t>MNDIYAE </t>
  </si>
  <si>
    <t>RBENNOUI </t>
  </si>
  <si>
    <t>FKHARKHACH </t>
  </si>
  <si>
    <t>AAMER </t>
  </si>
  <si>
    <t>MFILALI</t>
  </si>
  <si>
    <t>MHOUTI </t>
  </si>
  <si>
    <t>KBENKARROUCH </t>
  </si>
  <si>
    <t>TBOUSSOUGA </t>
  </si>
  <si>
    <t>MATIF </t>
  </si>
  <si>
    <t>NKHDAIRI </t>
  </si>
  <si>
    <t>MBERNIA </t>
  </si>
  <si>
    <t>FSIDIKI </t>
  </si>
  <si>
    <t>MCHIHANI </t>
  </si>
  <si>
    <t>KFAITEH </t>
  </si>
  <si>
    <t>FAANEBA </t>
  </si>
  <si>
    <t>FOUENJLI</t>
  </si>
  <si>
    <t>COUAHI </t>
  </si>
  <si>
    <t>NMESKOURI </t>
  </si>
  <si>
    <t>BTANNOUCHE</t>
  </si>
  <si>
    <t>WANNAKI </t>
  </si>
  <si>
    <t>SLACHKAR </t>
  </si>
  <si>
    <t>MHADDAOUI </t>
  </si>
  <si>
    <t>JDIOP </t>
  </si>
  <si>
    <t>MAAIDOUNE </t>
  </si>
  <si>
    <t>MAJERD </t>
  </si>
  <si>
    <t>KSEGHROUCHNI </t>
  </si>
  <si>
    <t>SACHIR </t>
  </si>
  <si>
    <t>ZBENSALAH </t>
  </si>
  <si>
    <t>SJAHILI </t>
  </si>
  <si>
    <t>SBENCHERKI </t>
  </si>
  <si>
    <t>KJELTI </t>
  </si>
  <si>
    <t>NTAOUBANE </t>
  </si>
  <si>
    <t>HBEREMDANE </t>
  </si>
  <si>
    <t>MRIZQI </t>
  </si>
  <si>
    <t>MBENBIHI </t>
  </si>
  <si>
    <t>ALEBSIR </t>
  </si>
  <si>
    <t>MLOUDYI</t>
  </si>
  <si>
    <t>RELKHATTABI </t>
  </si>
  <si>
    <t>ICHAHBOUNE </t>
  </si>
  <si>
    <t>MSIARY </t>
  </si>
  <si>
    <t>MHIZAM </t>
  </si>
  <si>
    <t>KM'HAMMEDI </t>
  </si>
  <si>
    <t>HTBAIKHI </t>
  </si>
  <si>
    <t>KZANEZOUN </t>
  </si>
  <si>
    <t>MAJEMAA </t>
  </si>
  <si>
    <t>LHIBA </t>
  </si>
  <si>
    <t>MOULFRACH </t>
  </si>
  <si>
    <t>AMACHKOURI </t>
  </si>
  <si>
    <t>HMOMI </t>
  </si>
  <si>
    <t>SDEBBI </t>
  </si>
  <si>
    <t>HBAKKALI </t>
  </si>
  <si>
    <t>DKHLIFI </t>
  </si>
  <si>
    <t>IQABBA </t>
  </si>
  <si>
    <t>MCHITOUH </t>
  </si>
  <si>
    <t>SDAOUDI </t>
  </si>
  <si>
    <t>ZAGUIDA </t>
  </si>
  <si>
    <t>SLAKHOUIDA </t>
  </si>
  <si>
    <t>OGHYATE </t>
  </si>
  <si>
    <t>BDOUIRI </t>
  </si>
  <si>
    <t>KSCHAMEL </t>
  </si>
  <si>
    <t>MGHOULOULOU </t>
  </si>
  <si>
    <t>NCHADLI </t>
  </si>
  <si>
    <t>FBELGUERRAB </t>
  </si>
  <si>
    <t>ANDIAYE </t>
  </si>
  <si>
    <t>YTIHLI </t>
  </si>
  <si>
    <t>SRIDA</t>
  </si>
  <si>
    <t>SCHAHID </t>
  </si>
  <si>
    <t>RBELAOUD </t>
  </si>
  <si>
    <t>TAQARIDEN </t>
  </si>
  <si>
    <t>FIDDOUCH </t>
  </si>
  <si>
    <t>ABAINA </t>
  </si>
  <si>
    <t>OFAYE </t>
  </si>
  <si>
    <t>OESSAHLI </t>
  </si>
  <si>
    <t>MELISSAOUI </t>
  </si>
  <si>
    <t>KTAZICHERTI </t>
  </si>
  <si>
    <t>MBOUSELHAM </t>
  </si>
  <si>
    <t>HLABIAD </t>
  </si>
  <si>
    <t>IWAGRI </t>
  </si>
  <si>
    <t>NLOUTFI </t>
  </si>
  <si>
    <t>KELIDRISSI </t>
  </si>
  <si>
    <t>ZMELYANI </t>
  </si>
  <si>
    <t>MBARKI </t>
  </si>
  <si>
    <t>MHAILASS </t>
  </si>
  <si>
    <t>LBEN</t>
  </si>
  <si>
    <t>BZIATI </t>
  </si>
  <si>
    <t>SBENLZERGU </t>
  </si>
  <si>
    <t>JBAINA  </t>
  </si>
  <si>
    <t>ZRACHID </t>
  </si>
  <si>
    <t>MAKECHCHAR </t>
  </si>
  <si>
    <t>ZTRICHA </t>
  </si>
  <si>
    <t>SAOUSSAR </t>
  </si>
  <si>
    <t>MABBASI </t>
  </si>
  <si>
    <t>SBENZOUINA </t>
  </si>
  <si>
    <t>MFEJR</t>
  </si>
  <si>
    <t>JELASSAM </t>
  </si>
  <si>
    <t>NELHAMRAOUI </t>
  </si>
  <si>
    <t>LBASLAM </t>
  </si>
  <si>
    <t>ARIADE </t>
  </si>
  <si>
    <t>FAMAKHIR </t>
  </si>
  <si>
    <t>LERRAOUI </t>
  </si>
  <si>
    <t>ZAADISSI </t>
  </si>
  <si>
    <t>WBELEMKADEM </t>
  </si>
  <si>
    <t>CMZIOUD </t>
  </si>
  <si>
    <t>IM'GOUNI</t>
  </si>
  <si>
    <t>KSOUKANI </t>
  </si>
  <si>
    <t>KOUADI </t>
  </si>
  <si>
    <t>MKIMAKHE </t>
  </si>
  <si>
    <t>JAYOUB </t>
  </si>
  <si>
    <t>NBOUZIANE  </t>
  </si>
  <si>
    <t>MFALIOUNE </t>
  </si>
  <si>
    <t>NDHAO </t>
  </si>
  <si>
    <t>SFADLI </t>
  </si>
  <si>
    <t>DAdrien</t>
  </si>
  <si>
    <t>LBenoît</t>
  </si>
  <si>
    <t>LBrigitte</t>
  </si>
  <si>
    <t>DAlexandre</t>
  </si>
  <si>
    <t>MIsabelle</t>
  </si>
  <si>
    <t>LMichel</t>
  </si>
  <si>
    <t>LHenri</t>
  </si>
  <si>
    <t>DCharlotte</t>
  </si>
  <si>
    <t>LClaudine</t>
  </si>
  <si>
    <t>REmilie</t>
  </si>
  <si>
    <t>DMathieu</t>
  </si>
  <si>
    <t>LAurore</t>
  </si>
  <si>
    <t>MFrançois</t>
  </si>
  <si>
    <t>MNadine</t>
  </si>
  <si>
    <t>DAlice</t>
  </si>
  <si>
    <t>LSophie</t>
  </si>
  <si>
    <t>DLucie</t>
  </si>
  <si>
    <t>GHenri</t>
  </si>
  <si>
    <t>DSophie</t>
  </si>
  <si>
    <t>GBrigitte</t>
  </si>
  <si>
    <t>LMarie</t>
  </si>
  <si>
    <t>LCatherine</t>
  </si>
  <si>
    <t>FBendoumou</t>
  </si>
  <si>
    <t>MelFachel</t>
  </si>
  <si>
    <t>MAbdelakder</t>
  </si>
  <si>
    <t>JElAhmar</t>
  </si>
  <si>
    <t>WIsabel</t>
  </si>
  <si>
    <t>BAntonio</t>
  </si>
  <si>
    <t>YDaoui</t>
  </si>
  <si>
    <t>Nom_Prenom</t>
  </si>
  <si>
    <t>Ydaoui</t>
  </si>
  <si>
    <t>TRANSACTION_AMOUNT</t>
  </si>
  <si>
    <t>ORDER_DATE</t>
  </si>
  <si>
    <t>SHORT_MESSAGE</t>
  </si>
  <si>
    <t>ACCEPTED</t>
  </si>
  <si>
    <t>REFUSED</t>
  </si>
  <si>
    <t>ERROR</t>
  </si>
  <si>
    <t>Ville</t>
  </si>
  <si>
    <t>BNP Paribas</t>
  </si>
  <si>
    <t>Paris</t>
  </si>
  <si>
    <t>Paris (75)</t>
  </si>
  <si>
    <t>Lyon</t>
  </si>
  <si>
    <t>Rhône (69)</t>
  </si>
  <si>
    <t>Marseille</t>
  </si>
  <si>
    <t>Bouches-du-Rhône (13)</t>
  </si>
  <si>
    <t>Société Générale</t>
  </si>
  <si>
    <t>Toulouse</t>
  </si>
  <si>
    <t>Haute-Garonne (31)</t>
  </si>
  <si>
    <t>Bordeaux</t>
  </si>
  <si>
    <t>Gironde (33)</t>
  </si>
  <si>
    <t>Lille</t>
  </si>
  <si>
    <t>Nord (59)</t>
  </si>
  <si>
    <t>Crédit Agricole</t>
  </si>
  <si>
    <t>Nantes</t>
  </si>
  <si>
    <t>Loire-Atlantique (44)</t>
  </si>
  <si>
    <t>Rennes</t>
  </si>
  <si>
    <t>Ille-et-Vilaine (35)</t>
  </si>
  <si>
    <t>Montpellier</t>
  </si>
  <si>
    <t>Hérault (34)</t>
  </si>
  <si>
    <t>La Banque Postale</t>
  </si>
  <si>
    <t>Strasbourg</t>
  </si>
  <si>
    <t>Bas-Rhin (67)</t>
  </si>
  <si>
    <t>Dijon</t>
  </si>
  <si>
    <t>Côte-d'Or (21)</t>
  </si>
  <si>
    <t>Le Havre</t>
  </si>
  <si>
    <t>Seine-Maritime (76)</t>
  </si>
  <si>
    <t>LCL</t>
  </si>
  <si>
    <t>Nice</t>
  </si>
  <si>
    <t>Alpes-Maritimes (06)</t>
  </si>
  <si>
    <t>Grenoble</t>
  </si>
  <si>
    <t>Isère (38)</t>
  </si>
  <si>
    <t>Clermont-Ferrand</t>
  </si>
  <si>
    <t>Puy-de-Dôme (63)</t>
  </si>
  <si>
    <t>Crédit Mutuel</t>
  </si>
  <si>
    <t>Rouen</t>
  </si>
  <si>
    <t>Caen</t>
  </si>
  <si>
    <t>Calvados (14)</t>
  </si>
  <si>
    <t>Banque Populaire</t>
  </si>
  <si>
    <t>Toulon</t>
  </si>
  <si>
    <t>Var (83)</t>
  </si>
  <si>
    <t>HSBC France</t>
  </si>
  <si>
    <t>Caisse d'Épargne</t>
  </si>
  <si>
    <t>BRED Banque Populaire</t>
  </si>
  <si>
    <t>Banque de France</t>
  </si>
  <si>
    <t>CIC</t>
  </si>
  <si>
    <t>Groupama Banque</t>
  </si>
  <si>
    <t>ING France</t>
  </si>
  <si>
    <t>Banque</t>
  </si>
  <si>
    <t>Société Générale Epargne</t>
  </si>
  <si>
    <t>Departement</t>
  </si>
  <si>
    <t>Sinistre/contrat</t>
  </si>
  <si>
    <t>Heure</t>
  </si>
  <si>
    <t>Jour</t>
  </si>
  <si>
    <t>Moi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</si>
</sst>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F800]dddd\,\ mmmm\ dd\,\ yyyy"/>
    <numFmt numFmtId="165" formatCode="#,##0.00\ &quot;€&quot;"/>
    <numFmt numFmtId="166" formatCode="d/m/yy\ h:mm;@"/>
    <numFmt numFmtId="171" formatCode="[$-40C]d\ mmmm\ yyyy;@"/>
    <numFmt numFmtId="172" formatCode="dddd"/>
    <numFmt numFmtId="173" formatCode="mmmm"/>
  </numFmts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000000"/>
      <name val="Arial"/>
      <family val="2"/>
    </font>
    <font>
      <sz val="11"/>
      <color theme="4" tint="-0.499984740745262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1"/>
      <color rgb="FF00206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7" tint="0.39997558519241921"/>
        <bgColor theme="4" tint="0.59999389629810485"/>
      </patternFill>
    </fill>
    <fill>
      <patternFill patternType="solid">
        <fgColor theme="7" tint="0.39997558519241921"/>
        <bgColor theme="4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 tint="-0.499984740745262"/>
        <bgColor indexed="64"/>
      </patternFill>
    </fill>
  </fills>
  <borders count="33">
    <border>
      <left/>
      <right/>
      <top/>
      <bottom/>
      <diagonal/>
    </border>
    <border>
      <left style="thick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rgb="FFFFFFFF"/>
      </right>
      <top/>
      <bottom style="thick">
        <color rgb="FFFFFFFF"/>
      </bottom>
      <diagonal/>
    </border>
    <border>
      <left style="thick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thin">
        <color theme="4" tint="0.39997558519241921"/>
      </top>
      <bottom style="thin">
        <color theme="4" tint="0.3999755851924192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2">
    <xf numFmtId="0" fontId="0" fillId="0" borderId="0" xfId="0"/>
    <xf numFmtId="0" fontId="0" fillId="0" borderId="0" xfId="0" applyAlignment="1">
      <alignment horizontal="center" vertical="center"/>
    </xf>
    <xf numFmtId="0" fontId="0" fillId="7" borderId="2" xfId="0" applyFill="1" applyBorder="1"/>
    <xf numFmtId="0" fontId="0" fillId="7" borderId="3" xfId="0" applyFill="1" applyBorder="1"/>
    <xf numFmtId="0" fontId="0" fillId="7" borderId="4" xfId="0" applyFill="1" applyBorder="1"/>
    <xf numFmtId="0" fontId="0" fillId="7" borderId="5" xfId="0" applyFill="1" applyBorder="1"/>
    <xf numFmtId="0" fontId="0" fillId="7" borderId="0" xfId="0" applyFill="1"/>
    <xf numFmtId="0" fontId="0" fillId="7" borderId="6" xfId="0" applyFill="1" applyBorder="1"/>
    <xf numFmtId="0" fontId="0" fillId="7" borderId="7" xfId="0" applyFill="1" applyBorder="1"/>
    <xf numFmtId="0" fontId="0" fillId="7" borderId="8" xfId="0" applyFill="1" applyBorder="1"/>
    <xf numFmtId="0" fontId="3" fillId="7" borderId="3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5" fillId="7" borderId="3" xfId="0" applyFont="1" applyFill="1" applyBorder="1"/>
    <xf numFmtId="0" fontId="7" fillId="8" borderId="11" xfId="0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1" fillId="2" borderId="12" xfId="0" applyNumberFormat="1" applyFont="1" applyFill="1" applyBorder="1" applyAlignment="1">
      <alignment horizontal="center" vertical="center" wrapText="1"/>
    </xf>
    <xf numFmtId="0" fontId="1" fillId="2" borderId="13" xfId="0" applyFont="1" applyFill="1" applyBorder="1" applyAlignment="1">
      <alignment horizontal="center" vertical="center" wrapText="1"/>
    </xf>
    <xf numFmtId="0" fontId="1" fillId="10" borderId="14" xfId="0" applyFont="1" applyFill="1" applyBorder="1" applyAlignment="1">
      <alignment horizontal="center" vertical="center" wrapText="1"/>
    </xf>
    <xf numFmtId="0" fontId="1" fillId="10" borderId="15" xfId="0" applyFont="1" applyFill="1" applyBorder="1" applyAlignment="1">
      <alignment horizontal="center" vertical="center" wrapText="1"/>
    </xf>
    <xf numFmtId="0" fontId="8" fillId="11" borderId="0" xfId="0" applyFont="1" applyFill="1"/>
    <xf numFmtId="0" fontId="0" fillId="0" borderId="17" xfId="0" applyBorder="1"/>
    <xf numFmtId="0" fontId="0" fillId="6" borderId="18" xfId="0" applyFill="1" applyBorder="1"/>
    <xf numFmtId="0" fontId="0" fillId="0" borderId="18" xfId="0" applyBorder="1"/>
    <xf numFmtId="0" fontId="0" fillId="6" borderId="17" xfId="0" applyFill="1" applyBorder="1"/>
    <xf numFmtId="0" fontId="3" fillId="7" borderId="0" xfId="0" applyFont="1" applyFill="1"/>
    <xf numFmtId="0" fontId="6" fillId="13" borderId="0" xfId="0" applyFont="1" applyFill="1"/>
    <xf numFmtId="0" fontId="6" fillId="13" borderId="0" xfId="0" applyFont="1" applyFill="1" applyAlignment="1">
      <alignment horizontal="center"/>
    </xf>
    <xf numFmtId="0" fontId="0" fillId="0" borderId="0" xfId="0" applyAlignment="1">
      <alignment horizontal="left" wrapText="1"/>
    </xf>
    <xf numFmtId="0" fontId="0" fillId="9" borderId="0" xfId="0" applyFill="1"/>
    <xf numFmtId="0" fontId="0" fillId="0" borderId="0" xfId="0" applyAlignment="1">
      <alignment horizontal="left"/>
    </xf>
    <xf numFmtId="0" fontId="0" fillId="9" borderId="0" xfId="0" applyFill="1" applyAlignment="1">
      <alignment horizontal="left"/>
    </xf>
    <xf numFmtId="0" fontId="3" fillId="12" borderId="16" xfId="0" applyFont="1" applyFill="1" applyBorder="1" applyAlignment="1">
      <alignment horizontal="center" vertical="center"/>
    </xf>
    <xf numFmtId="0" fontId="9" fillId="11" borderId="14" xfId="0" applyFont="1" applyFill="1" applyBorder="1" applyAlignment="1">
      <alignment horizontal="center" vertical="center" wrapText="1"/>
    </xf>
    <xf numFmtId="14" fontId="0" fillId="0" borderId="0" xfId="0" applyNumberFormat="1"/>
    <xf numFmtId="22" fontId="0" fillId="7" borderId="0" xfId="0" applyNumberFormat="1" applyFill="1"/>
    <xf numFmtId="14" fontId="1" fillId="10" borderId="14" xfId="0" applyNumberFormat="1" applyFont="1" applyFill="1" applyBorder="1" applyAlignment="1">
      <alignment horizontal="center" vertical="center" wrapText="1"/>
    </xf>
    <xf numFmtId="0" fontId="4" fillId="12" borderId="16" xfId="0" applyFont="1" applyFill="1" applyBorder="1" applyAlignment="1">
      <alignment horizontal="center" vertical="center"/>
    </xf>
    <xf numFmtId="0" fontId="0" fillId="7" borderId="5" xfId="0" applyFill="1" applyBorder="1" applyAlignment="1">
      <alignment vertical="center"/>
    </xf>
    <xf numFmtId="0" fontId="11" fillId="7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 applyAlignment="1">
      <alignment vertical="center"/>
    </xf>
    <xf numFmtId="0" fontId="0" fillId="7" borderId="6" xfId="0" applyFill="1" applyBorder="1" applyAlignment="1">
      <alignment vertical="center"/>
    </xf>
    <xf numFmtId="0" fontId="0" fillId="0" borderId="0" xfId="0" applyAlignment="1">
      <alignment vertical="center"/>
    </xf>
    <xf numFmtId="0" fontId="10" fillId="7" borderId="19" xfId="0" applyFont="1" applyFill="1" applyBorder="1" applyAlignment="1">
      <alignment horizontal="center" vertical="center"/>
    </xf>
    <xf numFmtId="0" fontId="10" fillId="7" borderId="21" xfId="0" applyFont="1" applyFill="1" applyBorder="1" applyAlignment="1">
      <alignment horizontal="center" vertical="center"/>
    </xf>
    <xf numFmtId="0" fontId="10" fillId="7" borderId="22" xfId="0" applyFont="1" applyFill="1" applyBorder="1" applyAlignment="1">
      <alignment horizontal="center" vertical="center"/>
    </xf>
    <xf numFmtId="0" fontId="10" fillId="7" borderId="24" xfId="0" applyFont="1" applyFill="1" applyBorder="1" applyAlignment="1">
      <alignment horizontal="center" vertical="center"/>
    </xf>
    <xf numFmtId="0" fontId="10" fillId="7" borderId="26" xfId="0" applyFont="1" applyFill="1" applyBorder="1" applyAlignment="1">
      <alignment horizontal="center" vertical="center"/>
    </xf>
    <xf numFmtId="0" fontId="10" fillId="7" borderId="27" xfId="0" applyFont="1" applyFill="1" applyBorder="1" applyAlignment="1">
      <alignment horizontal="center" vertical="center"/>
    </xf>
    <xf numFmtId="0" fontId="14" fillId="11" borderId="14" xfId="0" applyFont="1" applyFill="1" applyBorder="1" applyAlignment="1">
      <alignment horizontal="center" vertical="center" wrapText="1"/>
    </xf>
    <xf numFmtId="0" fontId="11" fillId="7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right" vertical="center"/>
    </xf>
    <xf numFmtId="0" fontId="15" fillId="7" borderId="0" xfId="0" applyFont="1" applyFill="1"/>
    <xf numFmtId="0" fontId="13" fillId="14" borderId="9" xfId="0" applyFont="1" applyFill="1" applyBorder="1" applyAlignment="1">
      <alignment horizontal="center" vertical="center"/>
    </xf>
    <xf numFmtId="0" fontId="13" fillId="14" borderId="28" xfId="0" applyFont="1" applyFill="1" applyBorder="1" applyAlignment="1">
      <alignment horizontal="center" vertical="center"/>
    </xf>
    <xf numFmtId="0" fontId="13" fillId="14" borderId="10" xfId="0" applyFont="1" applyFill="1" applyBorder="1" applyAlignment="1">
      <alignment horizontal="center" vertical="center"/>
    </xf>
    <xf numFmtId="164" fontId="10" fillId="7" borderId="20" xfId="0" applyNumberFormat="1" applyFont="1" applyFill="1" applyBorder="1" applyAlignment="1">
      <alignment horizontal="center" vertical="center"/>
    </xf>
    <xf numFmtId="164" fontId="10" fillId="7" borderId="23" xfId="0" applyNumberFormat="1" applyFont="1" applyFill="1" applyBorder="1" applyAlignment="1">
      <alignment horizontal="center" vertical="center"/>
    </xf>
    <xf numFmtId="164" fontId="10" fillId="7" borderId="25" xfId="0" applyNumberFormat="1" applyFont="1" applyFill="1" applyBorder="1" applyAlignment="1">
      <alignment horizontal="center" vertical="center"/>
    </xf>
    <xf numFmtId="164" fontId="16" fillId="7" borderId="0" xfId="0" applyNumberFormat="1" applyFont="1" applyFill="1" applyAlignment="1">
      <alignment horizontal="center" vertical="center"/>
    </xf>
    <xf numFmtId="0" fontId="0" fillId="0" borderId="6" xfId="0" applyBorder="1"/>
    <xf numFmtId="0" fontId="1" fillId="7" borderId="14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14" fontId="0" fillId="0" borderId="19" xfId="0" applyNumberFormat="1" applyBorder="1" applyAlignment="1">
      <alignment horizontal="center"/>
    </xf>
    <xf numFmtId="0" fontId="0" fillId="0" borderId="29" xfId="0" applyBorder="1" applyAlignment="1">
      <alignment horizontal="center"/>
    </xf>
    <xf numFmtId="0" fontId="17" fillId="7" borderId="20" xfId="0" applyFont="1" applyFill="1" applyBorder="1" applyAlignment="1">
      <alignment horizontal="center"/>
    </xf>
    <xf numFmtId="0" fontId="17" fillId="7" borderId="21" xfId="0" applyFont="1" applyFill="1" applyBorder="1" applyAlignment="1">
      <alignment horizontal="center"/>
    </xf>
    <xf numFmtId="0" fontId="17" fillId="7" borderId="22" xfId="0" applyFont="1" applyFill="1" applyBorder="1" applyAlignment="1">
      <alignment horizontal="center"/>
    </xf>
    <xf numFmtId="0" fontId="0" fillId="0" borderId="23" xfId="0" applyBorder="1" applyAlignment="1">
      <alignment horizontal="center"/>
    </xf>
    <xf numFmtId="14" fontId="0" fillId="0" borderId="24" xfId="0" applyNumberFormat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14" fontId="0" fillId="0" borderId="26" xfId="0" applyNumberFormat="1" applyBorder="1" applyAlignment="1">
      <alignment horizontal="center"/>
    </xf>
    <xf numFmtId="14" fontId="0" fillId="0" borderId="27" xfId="0" applyNumberFormat="1" applyBorder="1" applyAlignment="1">
      <alignment horizontal="center"/>
    </xf>
    <xf numFmtId="0" fontId="18" fillId="7" borderId="20" xfId="0" applyFont="1" applyFill="1" applyBorder="1" applyAlignment="1">
      <alignment horizontal="center"/>
    </xf>
    <xf numFmtId="0" fontId="0" fillId="0" borderId="19" xfId="0" applyBorder="1"/>
    <xf numFmtId="0" fontId="18" fillId="7" borderId="21" xfId="0" applyFont="1" applyFill="1" applyBorder="1" applyAlignment="1">
      <alignment horizontal="center"/>
    </xf>
    <xf numFmtId="0" fontId="18" fillId="7" borderId="22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6" xfId="0" applyBorder="1"/>
    <xf numFmtId="0" fontId="0" fillId="0" borderId="27" xfId="0" applyBorder="1" applyAlignment="1">
      <alignment horizontal="center"/>
    </xf>
    <xf numFmtId="0" fontId="2" fillId="7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right" vertical="center"/>
    </xf>
    <xf numFmtId="0" fontId="10" fillId="14" borderId="9" xfId="0" applyFont="1" applyFill="1" applyBorder="1" applyAlignment="1">
      <alignment horizontal="center" vertical="center"/>
    </xf>
    <xf numFmtId="0" fontId="10" fillId="14" borderId="1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65" fontId="4" fillId="0" borderId="19" xfId="0" applyNumberFormat="1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/>
    </xf>
    <xf numFmtId="165" fontId="4" fillId="0" borderId="26" xfId="0" applyNumberFormat="1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/>
    </xf>
    <xf numFmtId="0" fontId="4" fillId="0" borderId="19" xfId="0" applyFont="1" applyBorder="1" applyAlignment="1">
      <alignment horizontal="center" vertical="center" wrapText="1"/>
    </xf>
    <xf numFmtId="0" fontId="4" fillId="0" borderId="26" xfId="0" applyFont="1" applyBorder="1" applyAlignment="1">
      <alignment horizontal="center" vertical="center" wrapText="1"/>
    </xf>
    <xf numFmtId="171" fontId="0" fillId="0" borderId="19" xfId="0" applyNumberFormat="1" applyBorder="1" applyAlignment="1">
      <alignment horizontal="center"/>
    </xf>
    <xf numFmtId="173" fontId="0" fillId="0" borderId="19" xfId="0" applyNumberFormat="1" applyBorder="1" applyAlignment="1">
      <alignment horizontal="center"/>
    </xf>
    <xf numFmtId="172" fontId="0" fillId="0" borderId="19" xfId="0" applyNumberFormat="1" applyBorder="1" applyAlignment="1">
      <alignment horizontal="center"/>
    </xf>
    <xf numFmtId="0" fontId="18" fillId="7" borderId="30" xfId="0" applyFont="1" applyFill="1" applyBorder="1" applyAlignment="1">
      <alignment horizontal="center"/>
    </xf>
    <xf numFmtId="166" fontId="4" fillId="0" borderId="31" xfId="0" applyNumberFormat="1" applyFont="1" applyBorder="1" applyAlignment="1">
      <alignment horizontal="center" vertical="center"/>
    </xf>
    <xf numFmtId="166" fontId="4" fillId="0" borderId="32" xfId="0" applyNumberFormat="1" applyFont="1" applyBorder="1" applyAlignment="1">
      <alignment horizontal="center" vertical="center"/>
    </xf>
    <xf numFmtId="0" fontId="4" fillId="0" borderId="23" xfId="0" applyFont="1" applyBorder="1" applyAlignment="1">
      <alignment horizontal="center"/>
    </xf>
    <xf numFmtId="0" fontId="4" fillId="0" borderId="25" xfId="0" applyFont="1" applyBorder="1" applyAlignment="1">
      <alignment horizontal="center"/>
    </xf>
    <xf numFmtId="171" fontId="0" fillId="0" borderId="26" xfId="0" applyNumberFormat="1" applyBorder="1" applyAlignment="1">
      <alignment horizontal="center"/>
    </xf>
    <xf numFmtId="173" fontId="0" fillId="0" borderId="26" xfId="0" applyNumberFormat="1" applyBorder="1" applyAlignment="1">
      <alignment horizontal="center"/>
    </xf>
    <xf numFmtId="172" fontId="0" fillId="0" borderId="26" xfId="0" applyNumberFormat="1" applyBorder="1" applyAlignment="1">
      <alignment horizontal="center"/>
    </xf>
  </cellXfs>
  <cellStyles count="1">
    <cellStyle name="Normal" xfId="0" builtinId="0"/>
  </cellStyles>
  <dxfs count="19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theme="0" tint="-0.34998626667073579"/>
      </font>
      <fill>
        <patternFill>
          <bgColor theme="0" tint="-0.24994659260841701"/>
        </patternFill>
      </fill>
    </dxf>
    <dxf>
      <alignment horizontal="center" vertical="center" textRotation="0" wrapText="0" relativeIndent="0" justifyLastLine="0" shrinkToFit="0" readingOrder="0"/>
    </dxf>
    <dxf>
      <alignment horizontal="center" vertical="center" textRotation="0" wrapText="0" relativeIndent="0" justifyLastLine="0" shrinkToFit="0" readingOrder="0"/>
    </dxf>
    <dxf>
      <alignment horizontal="center" vertical="center" textRotation="0" wrapText="0" relativeIndent="0" justifyLastLine="0" shrinkToFit="0" readingOrder="0"/>
    </dxf>
    <dxf>
      <alignment horizontal="center" vertical="center" textRotation="0" wrapText="0" relativeIndent="0" justifyLastLine="0" shrinkToFit="0" readingOrder="0"/>
    </dxf>
    <dxf>
      <alignment horizontal="center" vertical="center" textRotation="0" wrapText="0" relativeIndent="0" justifyLastLine="0" shrinkToFit="0" readingOrder="0"/>
    </dxf>
    <dxf>
      <border outline="0">
        <top style="thick">
          <color theme="0"/>
        </top>
      </border>
    </dxf>
    <dxf>
      <alignment horizontal="center" vertical="center" textRotation="0" wrapText="0" relative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" formatCode="0"/>
      <fill>
        <patternFill patternType="solid">
          <fgColor theme="4"/>
          <bgColor theme="4"/>
        </patternFill>
      </fill>
      <alignment horizontal="center" vertical="center" textRotation="0" wrapText="1" relativeIndent="0" justifyLastLine="0" shrinkToFit="0" readingOrder="0"/>
    </dxf>
  </dxfs>
  <tableStyles count="0" defaultTableStyle="TableStyleMedium9" defaultPivotStyle="PivotStyleLight16"/>
  <colors>
    <mruColors>
      <color rgb="FFEC8B20"/>
      <color rgb="FFFAC81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2083593</xdr:colOff>
      <xdr:row>11</xdr:row>
      <xdr:rowOff>47626</xdr:rowOff>
    </xdr:from>
    <xdr:to>
      <xdr:col>14</xdr:col>
      <xdr:colOff>6036468</xdr:colOff>
      <xdr:row>13</xdr:row>
      <xdr:rowOff>154783</xdr:rowOff>
    </xdr:to>
    <xdr:sp macro="[0]!Rectangleàcoinsarrondis5_Clic" textlink="">
      <xdr:nvSpPr>
        <xdr:cNvPr id="6" name="Rectangle à coins arrondi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346781" y="2976564"/>
          <a:ext cx="3952875" cy="535782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fr-FR" sz="2000" b="1"/>
            <a:t>Enregistrer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228600</xdr:rowOff>
        </xdr:from>
        <xdr:to>
          <xdr:col>6</xdr:col>
          <xdr:colOff>1876425</xdr:colOff>
          <xdr:row>3</xdr:row>
          <xdr:rowOff>19050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oneCell">
    <xdr:from>
      <xdr:col>15</xdr:col>
      <xdr:colOff>69057</xdr:colOff>
      <xdr:row>1</xdr:row>
      <xdr:rowOff>83345</xdr:rowOff>
    </xdr:from>
    <xdr:to>
      <xdr:col>17</xdr:col>
      <xdr:colOff>678655</xdr:colOff>
      <xdr:row>8</xdr:row>
      <xdr:rowOff>26193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214057" y="285751"/>
          <a:ext cx="1895473" cy="189547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2162175</xdr:colOff>
      <xdr:row>0</xdr:row>
      <xdr:rowOff>164598</xdr:rowOff>
    </xdr:from>
    <xdr:ext cx="8667750" cy="93762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704975" y="164598"/>
          <a:ext cx="8667750" cy="937629"/>
        </a:xfrm>
        <a:prstGeom prst="rect">
          <a:avLst/>
        </a:prstGeom>
        <a:solidFill>
          <a:schemeClr val="accent1">
            <a:lumMod val="50000"/>
          </a:schemeClr>
        </a:solidFill>
        <a:effectLst>
          <a:glow rad="63500">
            <a:schemeClr val="accent1">
              <a:satMod val="175000"/>
              <a:alpha val="40000"/>
            </a:schemeClr>
          </a:glow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square" lIns="91440" tIns="45720" rIns="91440" bIns="45720">
          <a:spAutoFit/>
        </a:bodyPr>
        <a:lstStyle/>
        <a:p>
          <a:pPr algn="ctr"/>
          <a:r>
            <a:rPr lang="fr-FR" sz="5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Suivi</a:t>
          </a:r>
          <a:r>
            <a:rPr lang="fr-FR" sz="54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demande </a:t>
          </a:r>
          <a:r>
            <a:rPr lang="fr-FR" sz="54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assistance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c/AppData/Roaming/Microsoft/Excel/Coch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H"/>
      <sheetName val="MENU"/>
      <sheetName val="LOGIN"/>
      <sheetName val="Form_MAJ"/>
      <sheetName val="Suivi_Effectif"/>
      <sheetName val="Form_New_Demande"/>
      <sheetName val="Suivi_Demande"/>
    </sheetNames>
    <sheetDataSet>
      <sheetData sheetId="0">
        <row r="2">
          <cell r="AD2">
            <v>1</v>
          </cell>
          <cell r="AE2" t="str">
            <v>HANINE LAHTIMI</v>
          </cell>
        </row>
        <row r="3">
          <cell r="AD3">
            <v>2</v>
          </cell>
          <cell r="AE3" t="str">
            <v>BIKAI JOSPIN PASCAL</v>
          </cell>
        </row>
        <row r="4">
          <cell r="AD4">
            <v>3</v>
          </cell>
          <cell r="AE4" t="str">
            <v>BOUSTANI LATIFA</v>
          </cell>
        </row>
        <row r="5">
          <cell r="AD5">
            <v>4</v>
          </cell>
          <cell r="AE5" t="str">
            <v>MIMOUNI YASSINE</v>
          </cell>
        </row>
        <row r="6">
          <cell r="AD6">
            <v>5</v>
          </cell>
          <cell r="AE6" t="str">
            <v>EZZAHIR AHMED AMINE</v>
          </cell>
        </row>
        <row r="7">
          <cell r="AD7">
            <v>6</v>
          </cell>
          <cell r="AE7" t="str">
            <v>MESSOUR MERYEM</v>
          </cell>
        </row>
        <row r="8">
          <cell r="AD8">
            <v>7</v>
          </cell>
          <cell r="AE8" t="str">
            <v>ZOUGARHI MOHAMED</v>
          </cell>
        </row>
        <row r="9">
          <cell r="AD9">
            <v>8</v>
          </cell>
          <cell r="AE9" t="str">
            <v>BONGOUANDE MATOULY EMILE FRANCE</v>
          </cell>
        </row>
        <row r="10">
          <cell r="AD10">
            <v>9</v>
          </cell>
          <cell r="AE10" t="str">
            <v>MBEMBA MAKOUNDOU RHYTA PRUDENCE</v>
          </cell>
        </row>
        <row r="11">
          <cell r="AD11">
            <v>10</v>
          </cell>
          <cell r="AE11" t="str">
            <v>AARAB BOUCHRA</v>
          </cell>
        </row>
        <row r="12">
          <cell r="AD12">
            <v>11</v>
          </cell>
          <cell r="AE12" t="str">
            <v>ABDALLAH MOHADJI AYOUBA</v>
          </cell>
        </row>
        <row r="13">
          <cell r="AD13">
            <v>12</v>
          </cell>
          <cell r="AE13" t="str">
            <v xml:space="preserve">NAKY CHARLES ALEXIS </v>
          </cell>
        </row>
        <row r="14">
          <cell r="AD14">
            <v>13</v>
          </cell>
          <cell r="AE14" t="str">
            <v>BELKAS AYOUB</v>
          </cell>
        </row>
        <row r="15">
          <cell r="AD15">
            <v>14</v>
          </cell>
          <cell r="AE15" t="str">
            <v>BENDEKKAK AYOUB</v>
          </cell>
        </row>
        <row r="16">
          <cell r="AD16">
            <v>15</v>
          </cell>
          <cell r="AE16" t="str">
            <v>EL ATTOUCH KHAOULA</v>
          </cell>
        </row>
        <row r="17">
          <cell r="AD17">
            <v>16</v>
          </cell>
          <cell r="AE17" t="str">
            <v>EL JAMALI RANYA</v>
          </cell>
        </row>
        <row r="18">
          <cell r="AD18">
            <v>17</v>
          </cell>
          <cell r="AE18" t="str">
            <v>FATNASSI HAJAR</v>
          </cell>
        </row>
        <row r="19">
          <cell r="AD19">
            <v>18</v>
          </cell>
          <cell r="AE19" t="str">
            <v>KOMBO JONAS GIL THALANCE</v>
          </cell>
        </row>
        <row r="20">
          <cell r="AD20">
            <v>19</v>
          </cell>
          <cell r="AE20" t="str">
            <v>KOUAME EHOUNAN  JEAN MAURICE</v>
          </cell>
        </row>
        <row r="21">
          <cell r="AD21">
            <v>20</v>
          </cell>
          <cell r="AE21" t="str">
            <v>LAAFIF YOUSSEF</v>
          </cell>
        </row>
        <row r="22">
          <cell r="AD22">
            <v>21</v>
          </cell>
          <cell r="AE22" t="str">
            <v>MATETE SIMBA LANDRY</v>
          </cell>
        </row>
        <row r="23">
          <cell r="AD23">
            <v>22</v>
          </cell>
          <cell r="AE23" t="str">
            <v>TOURE SAIDOU</v>
          </cell>
        </row>
        <row r="24">
          <cell r="AD24">
            <v>23</v>
          </cell>
          <cell r="AE24" t="str">
            <v>YABBA FATIMA EZZAHRA</v>
          </cell>
        </row>
        <row r="25">
          <cell r="AD25">
            <v>24</v>
          </cell>
          <cell r="AE25" t="str">
            <v>OUCHENE FADOUA</v>
          </cell>
        </row>
        <row r="26">
          <cell r="AD26">
            <v>25</v>
          </cell>
          <cell r="AE26" t="str">
            <v>ANAYANI YOUSSEF</v>
          </cell>
        </row>
        <row r="27">
          <cell r="AD27">
            <v>26</v>
          </cell>
          <cell r="AE27" t="str">
            <v>FERNOUCHI AMAL</v>
          </cell>
        </row>
        <row r="28">
          <cell r="AD28">
            <v>27</v>
          </cell>
          <cell r="AE28" t="str">
            <v>HAMMOU MOUAD</v>
          </cell>
        </row>
        <row r="29">
          <cell r="AD29">
            <v>28</v>
          </cell>
          <cell r="AE29" t="str">
            <v>BOUCHKAL IHSSANE</v>
          </cell>
        </row>
        <row r="30">
          <cell r="AD30">
            <v>29</v>
          </cell>
          <cell r="AE30" t="str">
            <v>EL KEZAINI AHLAM</v>
          </cell>
        </row>
        <row r="31">
          <cell r="AD31">
            <v>30</v>
          </cell>
          <cell r="AE31" t="str">
            <v>SAYER RAWANE</v>
          </cell>
        </row>
        <row r="32">
          <cell r="AD32">
            <v>31</v>
          </cell>
          <cell r="AE32" t="str">
            <v xml:space="preserve">ZARIOULA AFKAR </v>
          </cell>
        </row>
        <row r="33">
          <cell r="AD33">
            <v>32</v>
          </cell>
          <cell r="AE33" t="str">
            <v>AYOUB AISSATA</v>
          </cell>
        </row>
        <row r="34">
          <cell r="AD34">
            <v>33</v>
          </cell>
          <cell r="AE34" t="str">
            <v>DAKKI  MED-CHEMS EDDINE</v>
          </cell>
        </row>
        <row r="35">
          <cell r="AD35">
            <v>34</v>
          </cell>
          <cell r="AE35" t="str">
            <v>LAGO GNAGO CHARLES</v>
          </cell>
        </row>
        <row r="36">
          <cell r="AD36">
            <v>35</v>
          </cell>
          <cell r="AE36" t="str">
            <v>KIHAL JIHAD</v>
          </cell>
        </row>
        <row r="37">
          <cell r="AD37">
            <v>36</v>
          </cell>
          <cell r="AE37" t="str">
            <v>AIMOUCH KHAOULA</v>
          </cell>
        </row>
        <row r="38">
          <cell r="AD38">
            <v>37</v>
          </cell>
          <cell r="AE38" t="str">
            <v>LABHAR AMINA</v>
          </cell>
        </row>
        <row r="39">
          <cell r="AD39">
            <v>38</v>
          </cell>
          <cell r="AE39" t="str">
            <v>BENRKIA AYOUB</v>
          </cell>
        </row>
        <row r="40">
          <cell r="AD40">
            <v>39</v>
          </cell>
          <cell r="AE40" t="str">
            <v>CAMARA AMENAN EVELINE SANDRA</v>
          </cell>
        </row>
        <row r="41">
          <cell r="AD41">
            <v>40</v>
          </cell>
          <cell r="AE41" t="str">
            <v>GUERROUJ NAJOUA</v>
          </cell>
        </row>
        <row r="42">
          <cell r="AD42">
            <v>41</v>
          </cell>
          <cell r="AE42" t="str">
            <v>MESSING NGOH DANIEL DONOVAN</v>
          </cell>
        </row>
        <row r="43">
          <cell r="AD43">
            <v>42</v>
          </cell>
          <cell r="AE43" t="str">
            <v>YAO TCHELOU TATIANA</v>
          </cell>
        </row>
        <row r="44">
          <cell r="AD44">
            <v>43</v>
          </cell>
          <cell r="AE44" t="str">
            <v>EL MOUDDEN YASSINE</v>
          </cell>
        </row>
        <row r="45">
          <cell r="AD45">
            <v>44</v>
          </cell>
          <cell r="AE45" t="str">
            <v>MBANZOULOU CHRISFRED FIROLLI</v>
          </cell>
        </row>
        <row r="46">
          <cell r="AD46">
            <v>45</v>
          </cell>
          <cell r="AE46" t="str">
            <v>EYTHRIB EL MEHDI</v>
          </cell>
        </row>
        <row r="47">
          <cell r="AD47">
            <v>46</v>
          </cell>
          <cell r="AE47" t="str">
            <v>ROUAJ ZINEB</v>
          </cell>
        </row>
        <row r="48">
          <cell r="AD48">
            <v>47</v>
          </cell>
          <cell r="AE48" t="str">
            <v>NDUBA KATENDE MAGLOIRE</v>
          </cell>
        </row>
        <row r="49">
          <cell r="AD49">
            <v>48</v>
          </cell>
          <cell r="AE49" t="str">
            <v>MANKOUA SARA ROSE</v>
          </cell>
        </row>
        <row r="50">
          <cell r="AD50">
            <v>49</v>
          </cell>
          <cell r="AE50" t="str">
            <v>ALNZI-NZILKOUE ESTELLA</v>
          </cell>
        </row>
        <row r="51">
          <cell r="AD51">
            <v>50</v>
          </cell>
          <cell r="AE51" t="str">
            <v>BEKKARI ABDERRAZZAQ</v>
          </cell>
        </row>
        <row r="52">
          <cell r="AD52">
            <v>51</v>
          </cell>
          <cell r="AE52" t="str">
            <v>TANTANI MOAD</v>
          </cell>
        </row>
        <row r="53">
          <cell r="AD53">
            <v>52</v>
          </cell>
          <cell r="AE53" t="str">
            <v>DANMOYARA MADOU LISA BAPTISTA JOSIA</v>
          </cell>
        </row>
        <row r="54">
          <cell r="AD54">
            <v>53</v>
          </cell>
          <cell r="AE54" t="str">
            <v>NEKTACHI ASMAE</v>
          </cell>
        </row>
        <row r="55">
          <cell r="AD55">
            <v>54</v>
          </cell>
          <cell r="AE55" t="str">
            <v>BENHAMMOU SOUKAINA</v>
          </cell>
        </row>
        <row r="56">
          <cell r="AD56">
            <v>55</v>
          </cell>
          <cell r="AE56" t="str">
            <v>BWAME NGOSSO HELENE</v>
          </cell>
        </row>
        <row r="57">
          <cell r="AD57">
            <v>56</v>
          </cell>
          <cell r="AE57" t="str">
            <v>EL MARAGHI LHOUCINE</v>
          </cell>
        </row>
        <row r="58">
          <cell r="AD58">
            <v>57</v>
          </cell>
          <cell r="AE58" t="str">
            <v>ALAOUI HALIMA</v>
          </cell>
        </row>
        <row r="59">
          <cell r="AD59">
            <v>58</v>
          </cell>
          <cell r="AE59" t="str">
            <v>BARHOUNE HAIFAE</v>
          </cell>
        </row>
        <row r="60">
          <cell r="AD60">
            <v>59</v>
          </cell>
          <cell r="AE60" t="str">
            <v>BOURFA SARA</v>
          </cell>
        </row>
        <row r="61">
          <cell r="AD61">
            <v>60</v>
          </cell>
          <cell r="AE61" t="str">
            <v>ELALAMY ICHRAK</v>
          </cell>
        </row>
        <row r="62">
          <cell r="AD62">
            <v>61</v>
          </cell>
          <cell r="AE62" t="str">
            <v>LIMAM SOFIA</v>
          </cell>
        </row>
        <row r="63">
          <cell r="AD63">
            <v>62</v>
          </cell>
          <cell r="AE63" t="str">
            <v>OLIWAN WANTO FREDERIC</v>
          </cell>
        </row>
        <row r="64">
          <cell r="AD64">
            <v>63</v>
          </cell>
          <cell r="AE64" t="str">
            <v>OUCHMOUNI SAFAA</v>
          </cell>
        </row>
        <row r="65">
          <cell r="AD65">
            <v>64</v>
          </cell>
          <cell r="AE65" t="str">
            <v>SBAI CHKIRID CHAIMAE</v>
          </cell>
        </row>
        <row r="66">
          <cell r="AD66">
            <v>65</v>
          </cell>
          <cell r="AE66" t="str">
            <v>SOUNA ISSAKA MAMADOU</v>
          </cell>
        </row>
        <row r="67">
          <cell r="AD67">
            <v>66</v>
          </cell>
          <cell r="AE67" t="str">
            <v>YAO AMENAN DESIREE</v>
          </cell>
        </row>
        <row r="68">
          <cell r="AD68">
            <v>67</v>
          </cell>
          <cell r="AE68" t="str">
            <v>BENDADA SOUFIANE</v>
          </cell>
        </row>
        <row r="69">
          <cell r="AD69">
            <v>68</v>
          </cell>
          <cell r="AE69" t="str">
            <v>AARIRISSE MERYEM</v>
          </cell>
        </row>
        <row r="70">
          <cell r="AD70">
            <v>69</v>
          </cell>
          <cell r="AE70" t="str">
            <v>BENHADDI MAJDOULIN</v>
          </cell>
        </row>
        <row r="71">
          <cell r="AD71">
            <v>70</v>
          </cell>
          <cell r="AE71" t="str">
            <v>BELHOUSSINE SOULAIMA</v>
          </cell>
        </row>
        <row r="72">
          <cell r="AD72">
            <v>71</v>
          </cell>
          <cell r="AE72" t="str">
            <v>CHAABANI SOUNDOUS</v>
          </cell>
        </row>
        <row r="73">
          <cell r="AD73">
            <v>72</v>
          </cell>
          <cell r="AE73" t="str">
            <v>MOUSTARHFIR  ISHAK</v>
          </cell>
        </row>
        <row r="74">
          <cell r="AD74">
            <v>73</v>
          </cell>
          <cell r="AE74" t="str">
            <v>OUENDENO MOISE TAMBA</v>
          </cell>
        </row>
        <row r="75">
          <cell r="AD75">
            <v>74</v>
          </cell>
          <cell r="AE75" t="str">
            <v>EDDAQAQI ZINEB</v>
          </cell>
        </row>
        <row r="76">
          <cell r="AD76">
            <v>75</v>
          </cell>
          <cell r="AE76" t="str">
            <v>EL BAHDAOUI IBTISSAM</v>
          </cell>
        </row>
        <row r="77">
          <cell r="AD77">
            <v>76</v>
          </cell>
          <cell r="AE77" t="str">
            <v>KABBASI  AYOUB</v>
          </cell>
        </row>
        <row r="78">
          <cell r="AD78">
            <v>77</v>
          </cell>
          <cell r="AE78" t="str">
            <v>KHARBOUCH IHSSANE</v>
          </cell>
        </row>
        <row r="79">
          <cell r="AD79">
            <v>78</v>
          </cell>
          <cell r="AE79" t="str">
            <v>EL ASRI MOHAMED AYMANE</v>
          </cell>
        </row>
        <row r="80">
          <cell r="AD80">
            <v>79</v>
          </cell>
          <cell r="AE80" t="str">
            <v>AMDJAHDI  BADR-EDDINE</v>
          </cell>
        </row>
        <row r="81">
          <cell r="AD81">
            <v>80</v>
          </cell>
          <cell r="AE81" t="str">
            <v xml:space="preserve">ELBOUKILI  FATIMA ZAHRA </v>
          </cell>
        </row>
        <row r="82">
          <cell r="AD82">
            <v>81</v>
          </cell>
          <cell r="AE82" t="str">
            <v>GHARIB RABAB</v>
          </cell>
        </row>
        <row r="83">
          <cell r="AD83">
            <v>82</v>
          </cell>
          <cell r="AE83" t="str">
            <v>MWEPU-BATEKO CHULEE</v>
          </cell>
        </row>
        <row r="84">
          <cell r="AD84">
            <v>83</v>
          </cell>
          <cell r="AE84" t="str">
            <v>OULED CHAARA NOUHAILA</v>
          </cell>
        </row>
        <row r="85">
          <cell r="AD85">
            <v>84</v>
          </cell>
          <cell r="AE85" t="str">
            <v>PABINGUI MICHAEL</v>
          </cell>
        </row>
        <row r="86">
          <cell r="AD86">
            <v>85</v>
          </cell>
          <cell r="AE86" t="str">
            <v>TAHIRI MOHAMED</v>
          </cell>
        </row>
        <row r="87">
          <cell r="AD87">
            <v>86</v>
          </cell>
          <cell r="AE87" t="str">
            <v>M'NEBHI YASSINE</v>
          </cell>
        </row>
        <row r="88">
          <cell r="AD88">
            <v>87</v>
          </cell>
          <cell r="AE88" t="str">
            <v>OUANGRAOUA MOHAMED</v>
          </cell>
        </row>
        <row r="89">
          <cell r="AD89">
            <v>88</v>
          </cell>
          <cell r="AE89" t="str">
            <v>TRABELSI OUMAIMA</v>
          </cell>
        </row>
        <row r="90">
          <cell r="AD90">
            <v>89</v>
          </cell>
          <cell r="AE90" t="str">
            <v>TARCHI BOUCHRA</v>
          </cell>
        </row>
        <row r="91">
          <cell r="AD91">
            <v>90</v>
          </cell>
          <cell r="AE91" t="str">
            <v>ADOU MEXIN JUNIOR</v>
          </cell>
        </row>
        <row r="92">
          <cell r="AD92">
            <v>91</v>
          </cell>
          <cell r="AE92" t="str">
            <v>ANKOUDY HAMZA</v>
          </cell>
        </row>
        <row r="93">
          <cell r="AD93">
            <v>92</v>
          </cell>
          <cell r="AE93" t="str">
            <v>BOUGOUTTAYA CHAÏMAA</v>
          </cell>
        </row>
        <row r="94">
          <cell r="AD94">
            <v>93</v>
          </cell>
          <cell r="AE94" t="str">
            <v>EL ATMANI HICHAM</v>
          </cell>
        </row>
        <row r="95">
          <cell r="AD95">
            <v>94</v>
          </cell>
          <cell r="AE95" t="str">
            <v>EL IDRISSY DOUNIA</v>
          </cell>
        </row>
        <row r="96">
          <cell r="AD96">
            <v>95</v>
          </cell>
          <cell r="AE96" t="str">
            <v>EL MAADI NAIMA</v>
          </cell>
        </row>
        <row r="97">
          <cell r="AD97">
            <v>96</v>
          </cell>
          <cell r="AE97" t="str">
            <v>MBANDA MIREILLE MICAL</v>
          </cell>
        </row>
        <row r="98">
          <cell r="AD98">
            <v>97</v>
          </cell>
          <cell r="AE98" t="str">
            <v>ROCHDI JIHANE</v>
          </cell>
        </row>
        <row r="99">
          <cell r="AD99">
            <v>98</v>
          </cell>
          <cell r="AE99" t="str">
            <v>BAH MAMADOU</v>
          </cell>
        </row>
        <row r="100">
          <cell r="AD100">
            <v>99</v>
          </cell>
          <cell r="AE100" t="str">
            <v>BOUROUA OTHMANE</v>
          </cell>
        </row>
        <row r="101">
          <cell r="AD101">
            <v>100</v>
          </cell>
          <cell r="AE101" t="str">
            <v>MATARGBA NGUIASSET ANDREA</v>
          </cell>
        </row>
        <row r="102">
          <cell r="AD102">
            <v>101</v>
          </cell>
          <cell r="AE102" t="str">
            <v>MENTAGUI MERYEM</v>
          </cell>
        </row>
        <row r="103">
          <cell r="AD103">
            <v>102</v>
          </cell>
          <cell r="AE103" t="str">
            <v>FRAOUI IMANE</v>
          </cell>
        </row>
        <row r="104">
          <cell r="AD104">
            <v>103</v>
          </cell>
          <cell r="AE104" t="str">
            <v>EL QASMI KAWTAR</v>
          </cell>
        </row>
        <row r="105">
          <cell r="AD105">
            <v>104</v>
          </cell>
          <cell r="AE105" t="str">
            <v>ROUISSA RABIA</v>
          </cell>
        </row>
        <row r="106">
          <cell r="AD106">
            <v>105</v>
          </cell>
          <cell r="AE106" t="str">
            <v>CHAIBOUB SOUFIANE</v>
          </cell>
        </row>
        <row r="107">
          <cell r="AD107">
            <v>106</v>
          </cell>
          <cell r="AE107" t="str">
            <v>OUAQQA SAADIA</v>
          </cell>
        </row>
        <row r="108">
          <cell r="AD108">
            <v>107</v>
          </cell>
          <cell r="AE108" t="str">
            <v>ENAMANI SARA</v>
          </cell>
        </row>
        <row r="109">
          <cell r="AD109">
            <v>108</v>
          </cell>
          <cell r="AE109" t="str">
            <v>KRINATE AMIN</v>
          </cell>
        </row>
        <row r="110">
          <cell r="AD110">
            <v>109</v>
          </cell>
          <cell r="AE110" t="str">
            <v>EDDAOUDI FATI</v>
          </cell>
        </row>
        <row r="111">
          <cell r="AD111">
            <v>110</v>
          </cell>
          <cell r="AE111" t="str">
            <v>EL KASMI FADOUA</v>
          </cell>
        </row>
        <row r="112">
          <cell r="AD112">
            <v>111</v>
          </cell>
          <cell r="AE112" t="str">
            <v>GULI GOMBALI OLONA CHRISTIANO</v>
          </cell>
        </row>
        <row r="113">
          <cell r="AD113">
            <v>112</v>
          </cell>
          <cell r="AE113" t="str">
            <v>MOBANI SABIR HERVE</v>
          </cell>
        </row>
        <row r="114">
          <cell r="AD114">
            <v>113</v>
          </cell>
          <cell r="AE114" t="str">
            <v>EL KHALFI KHALIDA</v>
          </cell>
        </row>
        <row r="115">
          <cell r="AD115">
            <v>114</v>
          </cell>
          <cell r="AE115" t="str">
            <v>MOMAR DIALLO THIERNO</v>
          </cell>
        </row>
        <row r="116">
          <cell r="AD116">
            <v>115</v>
          </cell>
          <cell r="AE116" t="str">
            <v>MINANDE ELEKA SHARISSE</v>
          </cell>
        </row>
        <row r="117">
          <cell r="AD117">
            <v>116</v>
          </cell>
          <cell r="AE117" t="str">
            <v>BICHICHI MALIKA</v>
          </cell>
        </row>
        <row r="118">
          <cell r="AD118">
            <v>117</v>
          </cell>
          <cell r="AE118" t="str">
            <v>ECHCHAD NOUHAILA</v>
          </cell>
        </row>
        <row r="119">
          <cell r="AD119">
            <v>118</v>
          </cell>
          <cell r="AE119" t="str">
            <v>IDMAHAMMA REDA</v>
          </cell>
        </row>
        <row r="120">
          <cell r="AD120">
            <v>119</v>
          </cell>
          <cell r="AE120" t="str">
            <v>CHOUAR HICHAM</v>
          </cell>
        </row>
        <row r="121">
          <cell r="AD121">
            <v>120</v>
          </cell>
          <cell r="AE121" t="str">
            <v>MRHARI AYA</v>
          </cell>
        </row>
        <row r="122">
          <cell r="AD122">
            <v>121</v>
          </cell>
          <cell r="AE122" t="str">
            <v>OUABBI SAFAE</v>
          </cell>
        </row>
        <row r="123">
          <cell r="AD123">
            <v>122</v>
          </cell>
          <cell r="AE123" t="str">
            <v>EL OMARI TARIK</v>
          </cell>
        </row>
        <row r="124">
          <cell r="AD124">
            <v>123</v>
          </cell>
          <cell r="AE124" t="str">
            <v>LAZAR WIDIANE</v>
          </cell>
        </row>
        <row r="125">
          <cell r="AD125">
            <v>124</v>
          </cell>
          <cell r="AE125" t="str">
            <v>KOUBEMBA MBAYABA RUTH PAULINE</v>
          </cell>
        </row>
        <row r="126">
          <cell r="AD126">
            <v>125</v>
          </cell>
          <cell r="AE126" t="str">
            <v>ZGHAIMRI FATIMA ZAHRA</v>
          </cell>
        </row>
        <row r="127">
          <cell r="AD127">
            <v>126</v>
          </cell>
          <cell r="AE127" t="str">
            <v>MVULA KUNGI BIENVENU</v>
          </cell>
        </row>
        <row r="128">
          <cell r="AD128">
            <v>127</v>
          </cell>
          <cell r="AE128" t="str">
            <v>BERBICH BADR</v>
          </cell>
        </row>
        <row r="129">
          <cell r="AD129">
            <v>128</v>
          </cell>
          <cell r="AE129" t="str">
            <v>BOGA ELODIE</v>
          </cell>
        </row>
        <row r="130">
          <cell r="AD130">
            <v>129</v>
          </cell>
          <cell r="AE130" t="str">
            <v>MOUELLET RALPH HERMES</v>
          </cell>
        </row>
        <row r="131">
          <cell r="AD131">
            <v>130</v>
          </cell>
          <cell r="AE131" t="str">
            <v>MECHKOUR BADIAA</v>
          </cell>
        </row>
        <row r="132">
          <cell r="AD132">
            <v>131</v>
          </cell>
          <cell r="AE132" t="str">
            <v>EBOH ESSOUMAN JEAN JACQUES</v>
          </cell>
        </row>
        <row r="133">
          <cell r="AD133">
            <v>132</v>
          </cell>
          <cell r="AE133" t="str">
            <v>EL BADAOUI ABDELILAH</v>
          </cell>
        </row>
        <row r="134">
          <cell r="AD134">
            <v>133</v>
          </cell>
          <cell r="AE134" t="str">
            <v>RIZKI NAWAL</v>
          </cell>
        </row>
        <row r="135">
          <cell r="AD135">
            <v>134</v>
          </cell>
          <cell r="AE135" t="str">
            <v>BOUKHLIQ ILIAS</v>
          </cell>
        </row>
        <row r="136">
          <cell r="AD136">
            <v>135</v>
          </cell>
          <cell r="AE136" t="str">
            <v>LAAROUSSI OUIJDANE</v>
          </cell>
        </row>
        <row r="137">
          <cell r="AD137">
            <v>136</v>
          </cell>
          <cell r="AE137" t="str">
            <v>DOMEKPE KOSUA EVENYO</v>
          </cell>
        </row>
        <row r="138">
          <cell r="AD138">
            <v>137</v>
          </cell>
          <cell r="AE138" t="str">
            <v>SAADI HANAA</v>
          </cell>
        </row>
        <row r="139">
          <cell r="AD139">
            <v>138</v>
          </cell>
          <cell r="AE139" t="str">
            <v>BOUSSEDRA AYMANE</v>
          </cell>
        </row>
        <row r="140">
          <cell r="AD140">
            <v>139</v>
          </cell>
          <cell r="AE140" t="str">
            <v>MABROUK YASMINE</v>
          </cell>
        </row>
        <row r="141">
          <cell r="AD141">
            <v>140</v>
          </cell>
          <cell r="AE141" t="str">
            <v>BENACHOU CHAIMAE</v>
          </cell>
        </row>
        <row r="142">
          <cell r="AD142">
            <v>141</v>
          </cell>
          <cell r="AE142" t="str">
            <v>BAYOUD HAJAR</v>
          </cell>
        </row>
        <row r="143">
          <cell r="AD143">
            <v>142</v>
          </cell>
          <cell r="AE143" t="str">
            <v>ELAHIA MARWA</v>
          </cell>
        </row>
        <row r="144">
          <cell r="AD144">
            <v>143</v>
          </cell>
          <cell r="AE144" t="str">
            <v>BALLA RACHID</v>
          </cell>
        </row>
        <row r="145">
          <cell r="AD145">
            <v>144</v>
          </cell>
          <cell r="AE145" t="str">
            <v>EL MOUNZIL LAILA</v>
          </cell>
        </row>
        <row r="146">
          <cell r="AD146">
            <v>145</v>
          </cell>
          <cell r="AE146" t="str">
            <v>BAHIDA SALAHEDDINE</v>
          </cell>
        </row>
        <row r="147">
          <cell r="AD147">
            <v>146</v>
          </cell>
          <cell r="AE147" t="str">
            <v>EL ALAOUI IKRAM</v>
          </cell>
        </row>
        <row r="148">
          <cell r="AD148">
            <v>147</v>
          </cell>
          <cell r="AE148" t="str">
            <v>DEKKAKI RIM</v>
          </cell>
        </row>
        <row r="149">
          <cell r="AD149">
            <v>148</v>
          </cell>
          <cell r="AE149" t="str">
            <v>CHAKROUN IMANE</v>
          </cell>
        </row>
        <row r="150">
          <cell r="AD150">
            <v>149</v>
          </cell>
          <cell r="AE150" t="str">
            <v>RHOUL WALID</v>
          </cell>
        </row>
        <row r="151">
          <cell r="AD151">
            <v>150</v>
          </cell>
          <cell r="AE151" t="str">
            <v>AISSI NIAMA</v>
          </cell>
        </row>
        <row r="152">
          <cell r="AD152">
            <v>151</v>
          </cell>
          <cell r="AE152" t="str">
            <v>BIHICH NISSRINE</v>
          </cell>
        </row>
        <row r="153">
          <cell r="AD153">
            <v>152</v>
          </cell>
          <cell r="AE153" t="str">
            <v>EL BAKOURI HATIM</v>
          </cell>
        </row>
        <row r="154">
          <cell r="AD154">
            <v>153</v>
          </cell>
          <cell r="AE154" t="str">
            <v>FENNIRI TAREK</v>
          </cell>
        </row>
        <row r="155">
          <cell r="AD155">
            <v>154</v>
          </cell>
          <cell r="AE155" t="str">
            <v>FOFANA DIABA</v>
          </cell>
        </row>
        <row r="156">
          <cell r="AD156">
            <v>155</v>
          </cell>
          <cell r="AE156" t="str">
            <v>HAMAM SANA</v>
          </cell>
        </row>
        <row r="157">
          <cell r="AD157">
            <v>156</v>
          </cell>
          <cell r="AE157" t="str">
            <v>KHOUZAAH RAHMA</v>
          </cell>
        </row>
        <row r="158">
          <cell r="AD158">
            <v>157</v>
          </cell>
          <cell r="AE158" t="str">
            <v>TAHIRI NABEL</v>
          </cell>
        </row>
        <row r="159">
          <cell r="AD159">
            <v>158</v>
          </cell>
          <cell r="AE159" t="str">
            <v>QOTAIBAH ZINEB</v>
          </cell>
        </row>
        <row r="160">
          <cell r="AD160">
            <v>159</v>
          </cell>
          <cell r="AE160" t="str">
            <v>SABER NACIRI</v>
          </cell>
        </row>
        <row r="161">
          <cell r="AD161">
            <v>160</v>
          </cell>
          <cell r="AE161" t="str">
            <v>MUANDA KEMAKUKO JODELLE</v>
          </cell>
        </row>
        <row r="162">
          <cell r="AD162">
            <v>161</v>
          </cell>
          <cell r="AE162" t="str">
            <v>AZZOUZI BADR</v>
          </cell>
        </row>
        <row r="163">
          <cell r="AD163">
            <v>162</v>
          </cell>
          <cell r="AE163" t="str">
            <v>MABIALA MPASSI CEDRIC</v>
          </cell>
        </row>
        <row r="164">
          <cell r="AD164">
            <v>163</v>
          </cell>
          <cell r="AE164" t="str">
            <v>SAFOUANI FADWA</v>
          </cell>
        </row>
        <row r="165">
          <cell r="AD165">
            <v>164</v>
          </cell>
          <cell r="AE165" t="str">
            <v>HDADA ABDERRAHIM</v>
          </cell>
        </row>
        <row r="166">
          <cell r="AD166">
            <v>165</v>
          </cell>
          <cell r="AE166" t="str">
            <v>HALAOUI SARAH</v>
          </cell>
        </row>
        <row r="167">
          <cell r="AD167">
            <v>166</v>
          </cell>
          <cell r="AE167" t="str">
            <v>FATHA OUMNIA</v>
          </cell>
        </row>
        <row r="168">
          <cell r="AD168">
            <v>167</v>
          </cell>
          <cell r="AE168" t="str">
            <v>MAKAYA GAYAKPA PRINCE PAUL</v>
          </cell>
        </row>
        <row r="169">
          <cell r="AD169">
            <v>168</v>
          </cell>
          <cell r="AE169" t="str">
            <v>OKOMBA LEONID</v>
          </cell>
        </row>
        <row r="170">
          <cell r="AD170">
            <v>169</v>
          </cell>
          <cell r="AE170" t="str">
            <v>SYLLA FATOUMATA HALIMATOU</v>
          </cell>
        </row>
        <row r="171">
          <cell r="AD171">
            <v>170</v>
          </cell>
          <cell r="AE171" t="str">
            <v>HARMA JIHANE</v>
          </cell>
        </row>
        <row r="172">
          <cell r="AD172">
            <v>171</v>
          </cell>
          <cell r="AE172" t="str">
            <v>NDJIBA JULES</v>
          </cell>
        </row>
        <row r="173">
          <cell r="AD173">
            <v>172</v>
          </cell>
          <cell r="AE173" t="str">
            <v>ROUFID LAMIAE</v>
          </cell>
        </row>
        <row r="174">
          <cell r="AD174">
            <v>173</v>
          </cell>
          <cell r="AE174" t="str">
            <v>AKIL IMAD</v>
          </cell>
        </row>
        <row r="175">
          <cell r="AD175">
            <v>174</v>
          </cell>
          <cell r="AE175" t="str">
            <v>BARKOUCHI BOUCHRA</v>
          </cell>
        </row>
        <row r="176">
          <cell r="AD176">
            <v>175</v>
          </cell>
          <cell r="AE176" t="str">
            <v>BRIK REDOUANE</v>
          </cell>
        </row>
        <row r="177">
          <cell r="AD177">
            <v>176</v>
          </cell>
          <cell r="AE177" t="str">
            <v>FILALI HAMZA</v>
          </cell>
        </row>
        <row r="178">
          <cell r="AD178">
            <v>177</v>
          </cell>
          <cell r="AE178" t="str">
            <v>KHOCHTAF MEHDI IMADEDDINE</v>
          </cell>
        </row>
        <row r="179">
          <cell r="AD179">
            <v>178</v>
          </cell>
          <cell r="AE179" t="str">
            <v>NDA MARIE LOUISE</v>
          </cell>
        </row>
        <row r="180">
          <cell r="AD180">
            <v>179</v>
          </cell>
          <cell r="AE180" t="str">
            <v>NGAKEGNI lovely</v>
          </cell>
        </row>
        <row r="181">
          <cell r="AD181">
            <v>180</v>
          </cell>
          <cell r="AE181" t="str">
            <v>NGOME EMMANUEL AIME</v>
          </cell>
        </row>
        <row r="182">
          <cell r="AD182">
            <v>181</v>
          </cell>
          <cell r="AE182" t="str">
            <v>NKAMA NZE ANNIE OLIVIA</v>
          </cell>
        </row>
        <row r="183">
          <cell r="AD183">
            <v>182</v>
          </cell>
          <cell r="AE183" t="str">
            <v>NZANG OBAME JULIA MARLENE</v>
          </cell>
        </row>
        <row r="184">
          <cell r="AD184">
            <v>183</v>
          </cell>
          <cell r="AE184" t="str">
            <v>SAYAH SARA</v>
          </cell>
        </row>
        <row r="185">
          <cell r="AD185">
            <v>184</v>
          </cell>
          <cell r="AE185" t="str">
            <v>TADONLEKEU NGOUDJOU LOUK RODRIGUE</v>
          </cell>
        </row>
        <row r="186">
          <cell r="AD186">
            <v>185</v>
          </cell>
          <cell r="AE186" t="str">
            <v>EBISSEMITIE MONIQUE SANDRA</v>
          </cell>
        </row>
        <row r="187">
          <cell r="AD187">
            <v>186</v>
          </cell>
          <cell r="AE187" t="str">
            <v>KALONJI MALUMBA CHRISTIAN</v>
          </cell>
        </row>
        <row r="188">
          <cell r="AD188">
            <v>187</v>
          </cell>
          <cell r="AE188" t="str">
            <v>KUSALA TAMBUDILA ROFFY</v>
          </cell>
        </row>
        <row r="189">
          <cell r="AD189">
            <v>188</v>
          </cell>
          <cell r="AE189" t="str">
            <v>MBALA NDOMBASI HERITIER</v>
          </cell>
        </row>
        <row r="190">
          <cell r="AD190">
            <v>189</v>
          </cell>
          <cell r="AE190" t="str">
            <v>NGUESSAN FRANK EDOUARD LAMASSE</v>
          </cell>
        </row>
        <row r="191">
          <cell r="AD191">
            <v>190</v>
          </cell>
          <cell r="AE191" t="str">
            <v>NKAYE JOSEPH PATRICK NIOUKY</v>
          </cell>
        </row>
        <row r="192">
          <cell r="AD192">
            <v>191</v>
          </cell>
          <cell r="AE192" t="str">
            <v>OUAHNINE ACHRAF</v>
          </cell>
        </row>
        <row r="193">
          <cell r="AD193">
            <v>192</v>
          </cell>
          <cell r="AE193" t="str">
            <v>BILOUNGOULOU GARREL FRANCK</v>
          </cell>
        </row>
        <row r="194">
          <cell r="AD194">
            <v>193</v>
          </cell>
          <cell r="AE194" t="str">
            <v>DIAGNE NDEYE MANE</v>
          </cell>
        </row>
        <row r="195">
          <cell r="AD195">
            <v>194</v>
          </cell>
          <cell r="AE195" t="str">
            <v>ARSALANE SARA</v>
          </cell>
        </row>
        <row r="196">
          <cell r="AD196">
            <v>195</v>
          </cell>
          <cell r="AE196" t="str">
            <v>AZAROUAL BRAHIM</v>
          </cell>
        </row>
        <row r="197">
          <cell r="AD197">
            <v>196</v>
          </cell>
          <cell r="AE197" t="str">
            <v>BARRY TIDIANE KARIM</v>
          </cell>
        </row>
        <row r="198">
          <cell r="AD198">
            <v>197</v>
          </cell>
          <cell r="AE198" t="str">
            <v>BELMAMOUN SARA</v>
          </cell>
        </row>
        <row r="199">
          <cell r="AD199">
            <v>198</v>
          </cell>
          <cell r="AE199" t="str">
            <v>BOBANTUS MACKELA HABIB THEDY</v>
          </cell>
        </row>
        <row r="200">
          <cell r="AD200">
            <v>199</v>
          </cell>
          <cell r="AE200" t="str">
            <v>CHAFIAI ZAHRA</v>
          </cell>
        </row>
        <row r="201">
          <cell r="AD201">
            <v>200</v>
          </cell>
          <cell r="AE201" t="str">
            <v>CHBANI HIND</v>
          </cell>
        </row>
        <row r="202">
          <cell r="AD202">
            <v>201</v>
          </cell>
          <cell r="AE202" t="str">
            <v>CHERIF ABOUBACAR SIDIKI</v>
          </cell>
        </row>
        <row r="203">
          <cell r="AD203">
            <v>202</v>
          </cell>
          <cell r="AE203" t="str">
            <v>COULIBALY NONTA</v>
          </cell>
        </row>
        <row r="204">
          <cell r="AD204">
            <v>203</v>
          </cell>
          <cell r="AE204" t="str">
            <v>DIOUF IBRAHIMA</v>
          </cell>
        </row>
        <row r="205">
          <cell r="AD205">
            <v>204</v>
          </cell>
          <cell r="AE205" t="str">
            <v>EL BIHI WASSIMA</v>
          </cell>
        </row>
        <row r="206">
          <cell r="AD206">
            <v>205</v>
          </cell>
          <cell r="AE206" t="str">
            <v>EL KHAYARI BOUCHAIB</v>
          </cell>
        </row>
        <row r="207">
          <cell r="AD207">
            <v>206</v>
          </cell>
          <cell r="AE207" t="str">
            <v>ELARIFI Mounia</v>
          </cell>
        </row>
        <row r="208">
          <cell r="AD208">
            <v>207</v>
          </cell>
          <cell r="AE208" t="str">
            <v>EL-MOGAZI MOHAMED</v>
          </cell>
        </row>
        <row r="209">
          <cell r="AD209">
            <v>208</v>
          </cell>
          <cell r="AE209" t="str">
            <v>FOSSO DJIMY COLLINS</v>
          </cell>
        </row>
        <row r="210">
          <cell r="AD210">
            <v>209</v>
          </cell>
          <cell r="AE210" t="str">
            <v>GUEYE FATOUMATA</v>
          </cell>
        </row>
        <row r="211">
          <cell r="AD211">
            <v>210</v>
          </cell>
          <cell r="AE211" t="str">
            <v>HAJAJI FAIZA</v>
          </cell>
        </row>
        <row r="212">
          <cell r="AD212">
            <v>211</v>
          </cell>
          <cell r="AE212" t="str">
            <v>HAJJIOUI AMAL</v>
          </cell>
        </row>
        <row r="213">
          <cell r="AD213">
            <v>212</v>
          </cell>
          <cell r="AE213" t="str">
            <v>HASSAR ISSAM</v>
          </cell>
        </row>
        <row r="214">
          <cell r="AD214">
            <v>213</v>
          </cell>
          <cell r="AE214" t="str">
            <v>HOURMATALLAH YASSINE</v>
          </cell>
        </row>
        <row r="215">
          <cell r="AD215">
            <v>214</v>
          </cell>
          <cell r="AE215" t="str">
            <v>JMARI GHAYA</v>
          </cell>
        </row>
        <row r="216">
          <cell r="AD216">
            <v>215</v>
          </cell>
          <cell r="AE216" t="str">
            <v>KAMOUN NADA</v>
          </cell>
        </row>
        <row r="217">
          <cell r="AD217">
            <v>216</v>
          </cell>
          <cell r="AE217" t="str">
            <v>LAZREG ZINEB</v>
          </cell>
        </row>
        <row r="218">
          <cell r="AD218">
            <v>217</v>
          </cell>
          <cell r="AE218" t="str">
            <v>LISSOCK DAVID</v>
          </cell>
        </row>
        <row r="219">
          <cell r="AD219">
            <v>218</v>
          </cell>
          <cell r="AE219" t="str">
            <v>MABROUK MERYEM</v>
          </cell>
        </row>
        <row r="220">
          <cell r="AD220">
            <v>219</v>
          </cell>
          <cell r="AE220" t="str">
            <v>MANOUAR HAJAR</v>
          </cell>
        </row>
        <row r="221">
          <cell r="AD221">
            <v>220</v>
          </cell>
          <cell r="AE221" t="str">
            <v>MASSERA adoum falmata</v>
          </cell>
        </row>
        <row r="222">
          <cell r="AD222">
            <v>221</v>
          </cell>
          <cell r="AE222" t="str">
            <v>OUIJJANE SABAH</v>
          </cell>
        </row>
        <row r="223">
          <cell r="AD223">
            <v>222</v>
          </cell>
          <cell r="AE223" t="str">
            <v>SAMBOU JEAN PAUL</v>
          </cell>
        </row>
        <row r="224">
          <cell r="AD224">
            <v>223</v>
          </cell>
          <cell r="AE224" t="str">
            <v>SAMBOU AGATHE ELISABETH</v>
          </cell>
        </row>
        <row r="225">
          <cell r="AD225">
            <v>224</v>
          </cell>
          <cell r="AE225" t="str">
            <v>SOSSOU MURIEL ROMULUS</v>
          </cell>
        </row>
        <row r="226">
          <cell r="AD226">
            <v>225</v>
          </cell>
          <cell r="AE226" t="str">
            <v>TALEB Mourad</v>
          </cell>
        </row>
        <row r="227">
          <cell r="AD227">
            <v>226</v>
          </cell>
          <cell r="AE227" t="str">
            <v>TCHICAYA-PAMBOU LAURENE AXELLE</v>
          </cell>
        </row>
        <row r="228">
          <cell r="AD228">
            <v>227</v>
          </cell>
          <cell r="AE228" t="str">
            <v>KONAN ADJOUA ANNE MARIE</v>
          </cell>
        </row>
        <row r="229">
          <cell r="AD229">
            <v>228</v>
          </cell>
          <cell r="AE229" t="str">
            <v xml:space="preserve">DAMKIMBOLI VOUME  STEVIE SYNTICHE LUX </v>
          </cell>
        </row>
        <row r="230">
          <cell r="AD230">
            <v>229</v>
          </cell>
          <cell r="AE230" t="str">
            <v>EMBILO ARISTOTE</v>
          </cell>
        </row>
        <row r="231">
          <cell r="AD231">
            <v>230</v>
          </cell>
          <cell r="AE231" t="str">
            <v>BELCAID KAOUTAR</v>
          </cell>
        </row>
        <row r="232">
          <cell r="AD232">
            <v>231</v>
          </cell>
          <cell r="AE232" t="str">
            <v>DIARRA YAYA</v>
          </cell>
        </row>
        <row r="233">
          <cell r="AD233">
            <v>232</v>
          </cell>
          <cell r="AE233" t="str">
            <v>AMGHAR REDA</v>
          </cell>
        </row>
        <row r="234">
          <cell r="AD234">
            <v>233</v>
          </cell>
          <cell r="AE234" t="str">
            <v>BEN-TAHAR Soumia</v>
          </cell>
        </row>
        <row r="235">
          <cell r="AD235">
            <v>234</v>
          </cell>
          <cell r="AE235" t="str">
            <v>OUMOUSSA Ali</v>
          </cell>
        </row>
        <row r="236">
          <cell r="AD236">
            <v>235</v>
          </cell>
          <cell r="AE236" t="str">
            <v>KERRIM FEDOUA</v>
          </cell>
        </row>
        <row r="237">
          <cell r="AD237">
            <v>236</v>
          </cell>
          <cell r="AE237" t="str">
            <v>BOUTALEB ISRAA</v>
          </cell>
        </row>
        <row r="238">
          <cell r="AD238">
            <v>237</v>
          </cell>
          <cell r="AE238" t="str">
            <v>BELGHAZI MOHAMED AMINE</v>
          </cell>
        </row>
        <row r="239">
          <cell r="AD239">
            <v>238</v>
          </cell>
          <cell r="AE239" t="str">
            <v>SEFRIOUI RACHID</v>
          </cell>
        </row>
        <row r="240">
          <cell r="AD240">
            <v>239</v>
          </cell>
          <cell r="AE240" t="str">
            <v>ZELLOU SAIDA</v>
          </cell>
        </row>
        <row r="241">
          <cell r="AD241">
            <v>240</v>
          </cell>
          <cell r="AE241" t="str">
            <v>ZINA ANAS</v>
          </cell>
        </row>
        <row r="242">
          <cell r="AD242">
            <v>241</v>
          </cell>
          <cell r="AE242" t="str">
            <v>JEBBARI Mohamed Souhail</v>
          </cell>
        </row>
        <row r="243">
          <cell r="AD243">
            <v>242</v>
          </cell>
          <cell r="AE243" t="str">
            <v>SAHLI SALIMA</v>
          </cell>
        </row>
        <row r="244">
          <cell r="AD244">
            <v>243</v>
          </cell>
          <cell r="AE244" t="str">
            <v xml:space="preserve">LOUESSARD NATHALIE </v>
          </cell>
        </row>
        <row r="245">
          <cell r="AD245">
            <v>244</v>
          </cell>
          <cell r="AE245" t="str">
            <v>ELOCKA - NSOLE BENOIT</v>
          </cell>
        </row>
        <row r="246">
          <cell r="AD246">
            <v>245</v>
          </cell>
          <cell r="AE246" t="str">
            <v xml:space="preserve">LANSANA DORVAL  TOURE </v>
          </cell>
        </row>
        <row r="247">
          <cell r="AD247">
            <v>246</v>
          </cell>
          <cell r="AE247" t="str">
            <v xml:space="preserve">MIKIELA  MAGHDOLE GULLIT </v>
          </cell>
        </row>
        <row r="248">
          <cell r="AD248">
            <v>247</v>
          </cell>
          <cell r="AE248" t="str">
            <v xml:space="preserve">IBEYALT KALBLA  MANICK SOUVIEN </v>
          </cell>
        </row>
        <row r="249">
          <cell r="AD249">
            <v>248</v>
          </cell>
          <cell r="AE249" t="str">
            <v>BELKADI  YASMINE</v>
          </cell>
        </row>
        <row r="250">
          <cell r="AD250">
            <v>249</v>
          </cell>
          <cell r="AE250" t="str">
            <v xml:space="preserve">BENMANSER  NOUREDINE </v>
          </cell>
        </row>
        <row r="251">
          <cell r="AD251">
            <v>250</v>
          </cell>
          <cell r="AE251" t="str">
            <v xml:space="preserve">BENMASSAOUD  BOUTHAINA </v>
          </cell>
        </row>
        <row r="252">
          <cell r="AD252">
            <v>251</v>
          </cell>
          <cell r="AE252" t="str">
            <v xml:space="preserve">CAMARA BENGALY </v>
          </cell>
        </row>
        <row r="253">
          <cell r="AD253">
            <v>252</v>
          </cell>
          <cell r="AE253" t="str">
            <v>CAMARA  SEKOU KALIL</v>
          </cell>
        </row>
        <row r="254">
          <cell r="AD254">
            <v>253</v>
          </cell>
          <cell r="AE254" t="str">
            <v>DENGUE ORPHIN OWENE</v>
          </cell>
        </row>
        <row r="255">
          <cell r="AD255">
            <v>254</v>
          </cell>
          <cell r="AE255" t="str">
            <v>KIVOUA BREL</v>
          </cell>
        </row>
        <row r="256">
          <cell r="AD256">
            <v>255</v>
          </cell>
          <cell r="AE256" t="str">
            <v xml:space="preserve">KODJOBE OUEFA  GINETTE VIVIANNE </v>
          </cell>
        </row>
        <row r="257">
          <cell r="AD257">
            <v>256</v>
          </cell>
          <cell r="AE257" t="str">
            <v>KOFFI  ANGE LILIANE</v>
          </cell>
        </row>
        <row r="258">
          <cell r="AD258">
            <v>257</v>
          </cell>
          <cell r="AE258" t="str">
            <v>MAMBU Nsambu Nsayi Lord</v>
          </cell>
        </row>
        <row r="259">
          <cell r="AD259">
            <v>258</v>
          </cell>
          <cell r="AE259" t="str">
            <v xml:space="preserve">MAMY  Blé Hyppolyte </v>
          </cell>
        </row>
        <row r="260">
          <cell r="AD260">
            <v>259</v>
          </cell>
          <cell r="AE260" t="str">
            <v>MUAMBA-KAKOLU ETIENNE-GRACE</v>
          </cell>
        </row>
        <row r="261">
          <cell r="AD261">
            <v>260</v>
          </cell>
          <cell r="AE261" t="str">
            <v xml:space="preserve">MVONDO MANGA  ERIC </v>
          </cell>
        </row>
        <row r="262">
          <cell r="AD262">
            <v>261</v>
          </cell>
          <cell r="AE262" t="str">
            <v xml:space="preserve">OUEDRAOGO sany </v>
          </cell>
        </row>
        <row r="263">
          <cell r="AD263">
            <v>262</v>
          </cell>
          <cell r="AE263" t="str">
            <v xml:space="preserve">SAMBA  EDDIE CHRIST </v>
          </cell>
        </row>
        <row r="264">
          <cell r="AD264">
            <v>263</v>
          </cell>
          <cell r="AE264" t="str">
            <v>MABIALA LOEMBA NOUVELLE ANTONY MARLON</v>
          </cell>
        </row>
        <row r="265">
          <cell r="AD265">
            <v>264</v>
          </cell>
          <cell r="AE265" t="str">
            <v>FOKA TAMBO BERTOLD EDDY</v>
          </cell>
        </row>
        <row r="266">
          <cell r="AD266">
            <v>265</v>
          </cell>
          <cell r="AE266" t="str">
            <v>GAY LONGO  YVES</v>
          </cell>
        </row>
        <row r="267">
          <cell r="AD267">
            <v>266</v>
          </cell>
          <cell r="AE267" t="str">
            <v>EL MANSOURI Adil</v>
          </cell>
        </row>
        <row r="268">
          <cell r="AD268">
            <v>267</v>
          </cell>
          <cell r="AE268" t="str">
            <v>EL FAKKAK KAOUTAR</v>
          </cell>
        </row>
        <row r="269">
          <cell r="AD269">
            <v>268</v>
          </cell>
          <cell r="AE269" t="str">
            <v>OULADLARHOURHA KAWTAR</v>
          </cell>
        </row>
        <row r="270">
          <cell r="AD270">
            <v>269</v>
          </cell>
          <cell r="AE270" t="str">
            <v>SILUVANGY Andrea</v>
          </cell>
        </row>
        <row r="271">
          <cell r="AD271">
            <v>270</v>
          </cell>
          <cell r="AE271" t="str">
            <v>BADJI Laurent</v>
          </cell>
        </row>
        <row r="272">
          <cell r="AD272">
            <v>271</v>
          </cell>
          <cell r="AE272" t="str">
            <v>BOUAZZA           HANANE</v>
          </cell>
        </row>
        <row r="273">
          <cell r="AD273">
            <v>272</v>
          </cell>
          <cell r="AE273" t="str">
            <v>SILUVANGILUMBA        JEAN-RAPHAEL</v>
          </cell>
        </row>
        <row r="274">
          <cell r="AD274">
            <v>273</v>
          </cell>
          <cell r="AE274" t="str">
            <v>BOUNJOUA BADR</v>
          </cell>
        </row>
        <row r="275">
          <cell r="AD275">
            <v>274</v>
          </cell>
          <cell r="AE275" t="str">
            <v>BELACHHAB       ABDELMOULAAYMANE</v>
          </cell>
        </row>
        <row r="276">
          <cell r="AD276">
            <v>275</v>
          </cell>
          <cell r="AE276" t="str">
            <v>ASSOUMOU      GAELOR</v>
          </cell>
        </row>
        <row r="277">
          <cell r="AD277">
            <v>276</v>
          </cell>
          <cell r="AE277" t="str">
            <v>KOFFI kouassipacome</v>
          </cell>
        </row>
        <row r="278">
          <cell r="AD278">
            <v>277</v>
          </cell>
          <cell r="AE278" t="str">
            <v xml:space="preserve">DALI  Laura Michelle Audrey </v>
          </cell>
        </row>
        <row r="279">
          <cell r="AD279">
            <v>278</v>
          </cell>
          <cell r="AE279" t="str">
            <v>BOUDANE RAOUIA IHSSANE</v>
          </cell>
        </row>
        <row r="280">
          <cell r="AD280">
            <v>279</v>
          </cell>
          <cell r="AE280" t="str">
            <v>IQBAL MOHAMED</v>
          </cell>
        </row>
        <row r="281">
          <cell r="AD281">
            <v>280</v>
          </cell>
          <cell r="AE281" t="str">
            <v>PATOKI JUSTIN</v>
          </cell>
        </row>
        <row r="282">
          <cell r="AD282">
            <v>281</v>
          </cell>
          <cell r="AE282" t="str">
            <v>BAKAMBA TAMBA WALTER OTIS</v>
          </cell>
        </row>
        <row r="283">
          <cell r="AD283">
            <v>282</v>
          </cell>
          <cell r="AE283" t="str">
            <v>BROUZI MOHAMED AMINE</v>
          </cell>
        </row>
        <row r="284">
          <cell r="AD284">
            <v>283</v>
          </cell>
          <cell r="AE284" t="str">
            <v>EL MEHDAOUI MOUAD</v>
          </cell>
        </row>
        <row r="285">
          <cell r="AD285">
            <v>284</v>
          </cell>
          <cell r="AE285" t="str">
            <v>BENCHERIF LAILA</v>
          </cell>
        </row>
        <row r="286">
          <cell r="AD286">
            <v>285</v>
          </cell>
          <cell r="AE286" t="str">
            <v>BAKETA MBOUMBOU MERCI AUBAINE</v>
          </cell>
        </row>
        <row r="287">
          <cell r="AD287">
            <v>286</v>
          </cell>
          <cell r="AE287" t="str">
            <v>EMY JULES</v>
          </cell>
        </row>
        <row r="288">
          <cell r="AD288">
            <v>287</v>
          </cell>
          <cell r="AE288" t="str">
            <v>LOUKIL KARIMA</v>
          </cell>
        </row>
        <row r="289">
          <cell r="AD289">
            <v>288</v>
          </cell>
          <cell r="AE289" t="str">
            <v>EL ASLANI SAMIA</v>
          </cell>
        </row>
        <row r="290">
          <cell r="AD290">
            <v>289</v>
          </cell>
          <cell r="AE290" t="str">
            <v>HAMADI HOUDA</v>
          </cell>
        </row>
        <row r="291">
          <cell r="AD291">
            <v>290</v>
          </cell>
          <cell r="AE291" t="str">
            <v>BANGOURA TIGUIDANKE</v>
          </cell>
        </row>
        <row r="292">
          <cell r="AD292">
            <v>291</v>
          </cell>
          <cell r="AE292" t="str">
            <v>NESRATE Ayoub</v>
          </cell>
        </row>
        <row r="293">
          <cell r="AD293">
            <v>292</v>
          </cell>
          <cell r="AE293" t="str">
            <v>BONGOKAYEMBE Dylan</v>
          </cell>
        </row>
        <row r="294">
          <cell r="AD294">
            <v>293</v>
          </cell>
          <cell r="AE294" t="str">
            <v>KOUNKOU SYLVESTRE GAEL STEPHANE</v>
          </cell>
        </row>
        <row r="295">
          <cell r="AD295">
            <v>294</v>
          </cell>
          <cell r="AE295" t="str">
            <v>TANNANI AHMED AMINE</v>
          </cell>
        </row>
        <row r="296">
          <cell r="AD296">
            <v>295</v>
          </cell>
          <cell r="AE296" t="str">
            <v>SEBATI HIBA</v>
          </cell>
        </row>
        <row r="297">
          <cell r="AD297">
            <v>296</v>
          </cell>
          <cell r="AE297" t="str">
            <v>AKOLAGHA MEZENE NOELINA</v>
          </cell>
        </row>
        <row r="298">
          <cell r="AD298">
            <v>297</v>
          </cell>
          <cell r="AE298" t="str">
            <v>DANTE IBRAHIM ARNAUD</v>
          </cell>
        </row>
        <row r="299">
          <cell r="AD299">
            <v>298</v>
          </cell>
          <cell r="AE299" t="str">
            <v>EL MEDRAI YOUSSEF</v>
          </cell>
        </row>
        <row r="300">
          <cell r="AD300">
            <v>299</v>
          </cell>
          <cell r="AE300" t="str">
            <v>HAJJAOUI ZINEB</v>
          </cell>
        </row>
        <row r="301">
          <cell r="AD301">
            <v>300</v>
          </cell>
          <cell r="AE301" t="str">
            <v>KOUAME SANGNE Junior Freddy</v>
          </cell>
        </row>
        <row r="302">
          <cell r="AD302">
            <v>301</v>
          </cell>
          <cell r="AE302" t="str">
            <v>LONGI MASSAMBA Sanders Maxime</v>
          </cell>
        </row>
        <row r="303">
          <cell r="AD303">
            <v>302</v>
          </cell>
          <cell r="AE303" t="str">
            <v>CHAHIDI EL OUAZZANI LINDA</v>
          </cell>
        </row>
        <row r="304">
          <cell r="AD304">
            <v>303</v>
          </cell>
          <cell r="AE304" t="str">
            <v>SEBBANE YASSMINA</v>
          </cell>
        </row>
        <row r="305">
          <cell r="AD305">
            <v>304</v>
          </cell>
          <cell r="AE305" t="str">
            <v>BENNETTE EMOU ARSENE</v>
          </cell>
        </row>
        <row r="306">
          <cell r="AD306">
            <v>305</v>
          </cell>
          <cell r="AE306" t="str">
            <v>EL BOUKHARI LATIFA</v>
          </cell>
        </row>
        <row r="307">
          <cell r="AD307">
            <v>306</v>
          </cell>
          <cell r="AE307" t="str">
            <v>CISSE FATOU</v>
          </cell>
        </row>
        <row r="308">
          <cell r="AD308">
            <v>307</v>
          </cell>
          <cell r="AE308" t="str">
            <v>LOUAFI MOHAMMED BACHIR</v>
          </cell>
        </row>
        <row r="309">
          <cell r="AD309">
            <v>308</v>
          </cell>
          <cell r="AE309" t="str">
            <v>BOUKILI SOULAIMANE</v>
          </cell>
        </row>
        <row r="310">
          <cell r="AD310">
            <v>309</v>
          </cell>
          <cell r="AE310" t="str">
            <v>EL BOUKHARI JAMILA</v>
          </cell>
        </row>
        <row r="311">
          <cell r="AD311">
            <v>310</v>
          </cell>
          <cell r="AE311" t="str">
            <v>EBOUE HUTRICH PACCHELI</v>
          </cell>
        </row>
        <row r="312">
          <cell r="AD312">
            <v>311</v>
          </cell>
          <cell r="AE312" t="str">
            <v>BELAALLAM SALIM</v>
          </cell>
        </row>
        <row r="313">
          <cell r="AD313">
            <v>312</v>
          </cell>
          <cell r="AE313" t="str">
            <v>EL OUALI HIND</v>
          </cell>
        </row>
        <row r="314">
          <cell r="AD314">
            <v>313</v>
          </cell>
          <cell r="AE314" t="str">
            <v>LOUAFI SALMA</v>
          </cell>
        </row>
        <row r="315">
          <cell r="AD315">
            <v>314</v>
          </cell>
          <cell r="AE315" t="str">
            <v>CHERKAOUI JIHANE</v>
          </cell>
        </row>
        <row r="316">
          <cell r="AD316">
            <v>315</v>
          </cell>
          <cell r="AE316" t="str">
            <v>BELARBI FAICAL</v>
          </cell>
        </row>
        <row r="317">
          <cell r="AD317">
            <v>316</v>
          </cell>
          <cell r="AE317" t="str">
            <v>EYENE Brel</v>
          </cell>
        </row>
        <row r="318">
          <cell r="AD318">
            <v>317</v>
          </cell>
          <cell r="AE318" t="str">
            <v>Sbai SAMIRA</v>
          </cell>
        </row>
        <row r="319">
          <cell r="AD319">
            <v>318</v>
          </cell>
          <cell r="AE319" t="str">
            <v>BOUALI ZINEB</v>
          </cell>
        </row>
        <row r="320">
          <cell r="AD320">
            <v>319</v>
          </cell>
          <cell r="AE320" t="str">
            <v>Daoui Yassine</v>
          </cell>
        </row>
        <row r="321">
          <cell r="AD321">
            <v>320</v>
          </cell>
          <cell r="AE321" t="str">
            <v>MATAAME MOHAMED YASSINE</v>
          </cell>
        </row>
        <row r="322">
          <cell r="AD322">
            <v>321</v>
          </cell>
          <cell r="AE322" t="str">
            <v>BELKHDAR AZIZ</v>
          </cell>
        </row>
        <row r="323">
          <cell r="AD323">
            <v>322</v>
          </cell>
          <cell r="AE323" t="str">
            <v>GOUGLOU YASSINE</v>
          </cell>
        </row>
        <row r="324">
          <cell r="AD324">
            <v>323</v>
          </cell>
          <cell r="AE324" t="str">
            <v>BELGHITI ABDELMALEK</v>
          </cell>
        </row>
        <row r="325">
          <cell r="AD325">
            <v>324</v>
          </cell>
          <cell r="AE325" t="str">
            <v>NEJD IMANE</v>
          </cell>
        </row>
        <row r="326">
          <cell r="AD326">
            <v>325</v>
          </cell>
          <cell r="AE326" t="str">
            <v>FECHTALI CHAIMAE</v>
          </cell>
        </row>
        <row r="327">
          <cell r="AD327">
            <v>326</v>
          </cell>
          <cell r="AE327" t="str">
            <v>ATTALY MOUYOMBI JOSEPH</v>
          </cell>
        </row>
        <row r="328">
          <cell r="AD328">
            <v>327</v>
          </cell>
          <cell r="AE328" t="str">
            <v>EL AZMI SOFIA</v>
          </cell>
        </row>
        <row r="329">
          <cell r="AD329">
            <v>328</v>
          </cell>
          <cell r="AE329" t="str">
            <v>FATNASSI SALMA</v>
          </cell>
        </row>
        <row r="330">
          <cell r="AD330">
            <v>329</v>
          </cell>
          <cell r="AE330" t="str">
            <v>KADOURI ABDELKADER</v>
          </cell>
        </row>
        <row r="331">
          <cell r="AD331">
            <v>330</v>
          </cell>
          <cell r="AE331" t="str">
            <v>BENNARI YASMINE</v>
          </cell>
        </row>
        <row r="332">
          <cell r="AD332">
            <v>331</v>
          </cell>
          <cell r="AE332" t="str">
            <v>BENFARHOUN HAMZA</v>
          </cell>
        </row>
        <row r="333">
          <cell r="AD333">
            <v>332</v>
          </cell>
          <cell r="AE333" t="str">
            <v>BENCHEKROUN KAWTAR</v>
          </cell>
        </row>
        <row r="334">
          <cell r="AD334">
            <v>333</v>
          </cell>
          <cell r="AE334" t="str">
            <v>CHIGUER MAROUAN</v>
          </cell>
        </row>
        <row r="335">
          <cell r="AD335" t="str">
            <v/>
          </cell>
          <cell r="AE335" t="str">
            <v/>
          </cell>
        </row>
        <row r="336">
          <cell r="AD336" t="str">
            <v/>
          </cell>
          <cell r="AE336" t="str">
            <v/>
          </cell>
        </row>
        <row r="337">
          <cell r="AD337" t="str">
            <v/>
          </cell>
          <cell r="AE337" t="str">
            <v/>
          </cell>
        </row>
        <row r="338">
          <cell r="AD338" t="str">
            <v/>
          </cell>
          <cell r="AE338" t="str">
            <v/>
          </cell>
        </row>
        <row r="339">
          <cell r="AD339" t="str">
            <v/>
          </cell>
          <cell r="AE339" t="str">
            <v/>
          </cell>
        </row>
        <row r="340">
          <cell r="AD340" t="str">
            <v/>
          </cell>
          <cell r="AE340" t="str">
            <v/>
          </cell>
        </row>
        <row r="341">
          <cell r="AD341" t="str">
            <v/>
          </cell>
          <cell r="AE341" t="str">
            <v/>
          </cell>
        </row>
        <row r="342">
          <cell r="AD342" t="str">
            <v/>
          </cell>
          <cell r="AE342" t="str">
            <v/>
          </cell>
        </row>
        <row r="343">
          <cell r="AD343" t="str">
            <v/>
          </cell>
          <cell r="AE343" t="str">
            <v/>
          </cell>
        </row>
        <row r="344">
          <cell r="AD344" t="str">
            <v/>
          </cell>
          <cell r="AE344" t="str">
            <v/>
          </cell>
        </row>
        <row r="345">
          <cell r="AD345" t="str">
            <v/>
          </cell>
          <cell r="AE345" t="str">
            <v/>
          </cell>
        </row>
        <row r="346">
          <cell r="AD346" t="str">
            <v/>
          </cell>
          <cell r="AE346" t="str">
            <v/>
          </cell>
        </row>
        <row r="347">
          <cell r="AD347" t="str">
            <v/>
          </cell>
          <cell r="AE347" t="str">
            <v/>
          </cell>
        </row>
        <row r="348">
          <cell r="AD348" t="str">
            <v/>
          </cell>
          <cell r="AE348" t="str">
            <v/>
          </cell>
        </row>
        <row r="349">
          <cell r="AD349" t="str">
            <v/>
          </cell>
          <cell r="AE349" t="str">
            <v/>
          </cell>
        </row>
        <row r="350">
          <cell r="AD350" t="str">
            <v/>
          </cell>
          <cell r="AE350" t="str">
            <v/>
          </cell>
        </row>
        <row r="351">
          <cell r="AD351" t="str">
            <v/>
          </cell>
          <cell r="AE351" t="str">
            <v/>
          </cell>
        </row>
        <row r="352">
          <cell r="AD352" t="str">
            <v/>
          </cell>
          <cell r="AE352" t="str">
            <v/>
          </cell>
        </row>
        <row r="353">
          <cell r="AD353" t="str">
            <v/>
          </cell>
          <cell r="AE353" t="str">
            <v/>
          </cell>
        </row>
        <row r="354">
          <cell r="AD354" t="str">
            <v/>
          </cell>
          <cell r="AE354" t="str">
            <v/>
          </cell>
        </row>
        <row r="355">
          <cell r="AD355" t="str">
            <v/>
          </cell>
          <cell r="AE355" t="str">
            <v/>
          </cell>
        </row>
        <row r="356">
          <cell r="AD356" t="str">
            <v/>
          </cell>
          <cell r="AE356" t="str">
            <v/>
          </cell>
        </row>
        <row r="357">
          <cell r="AD357" t="str">
            <v/>
          </cell>
          <cell r="AE357" t="str">
            <v/>
          </cell>
        </row>
        <row r="358">
          <cell r="AD358" t="str">
            <v/>
          </cell>
          <cell r="AE358" t="str">
            <v/>
          </cell>
        </row>
        <row r="359">
          <cell r="AD359" t="str">
            <v/>
          </cell>
          <cell r="AE359" t="str">
            <v/>
          </cell>
        </row>
        <row r="360">
          <cell r="AD360" t="str">
            <v/>
          </cell>
          <cell r="AE360" t="str">
            <v/>
          </cell>
        </row>
        <row r="361">
          <cell r="AD361" t="str">
            <v/>
          </cell>
          <cell r="AE361" t="str">
            <v/>
          </cell>
        </row>
        <row r="362">
          <cell r="AD362" t="str">
            <v/>
          </cell>
          <cell r="AE362" t="str">
            <v/>
          </cell>
        </row>
        <row r="363">
          <cell r="AD363" t="str">
            <v/>
          </cell>
          <cell r="AE363" t="str">
            <v/>
          </cell>
        </row>
        <row r="364">
          <cell r="AD364" t="str">
            <v/>
          </cell>
          <cell r="AE364" t="str">
            <v/>
          </cell>
        </row>
        <row r="365">
          <cell r="AD365" t="str">
            <v/>
          </cell>
          <cell r="AE365" t="str">
            <v/>
          </cell>
        </row>
        <row r="366">
          <cell r="AD366" t="str">
            <v/>
          </cell>
          <cell r="AE366" t="str">
            <v/>
          </cell>
        </row>
        <row r="367">
          <cell r="AD367" t="str">
            <v/>
          </cell>
          <cell r="AE367" t="str">
            <v/>
          </cell>
        </row>
        <row r="368">
          <cell r="AD368" t="str">
            <v/>
          </cell>
          <cell r="AE368" t="str">
            <v/>
          </cell>
        </row>
        <row r="369">
          <cell r="AD369" t="str">
            <v/>
          </cell>
          <cell r="AE369" t="str">
            <v/>
          </cell>
        </row>
        <row r="370">
          <cell r="AD370" t="str">
            <v/>
          </cell>
          <cell r="AE370" t="str">
            <v/>
          </cell>
        </row>
        <row r="371">
          <cell r="AD371" t="str">
            <v/>
          </cell>
          <cell r="AE371" t="str">
            <v/>
          </cell>
        </row>
        <row r="372">
          <cell r="AD372" t="str">
            <v/>
          </cell>
          <cell r="AE372" t="str">
            <v/>
          </cell>
        </row>
        <row r="373">
          <cell r="AD373" t="str">
            <v/>
          </cell>
          <cell r="AE373" t="str">
            <v/>
          </cell>
        </row>
        <row r="374">
          <cell r="AD374" t="str">
            <v/>
          </cell>
          <cell r="AE374" t="str">
            <v/>
          </cell>
        </row>
        <row r="375">
          <cell r="AD375" t="str">
            <v/>
          </cell>
          <cell r="AE375" t="str">
            <v/>
          </cell>
        </row>
        <row r="376">
          <cell r="AD376" t="str">
            <v/>
          </cell>
          <cell r="AE376" t="str">
            <v/>
          </cell>
        </row>
        <row r="377">
          <cell r="AD377" t="str">
            <v/>
          </cell>
          <cell r="AE377" t="str">
            <v/>
          </cell>
        </row>
        <row r="378">
          <cell r="AD378" t="str">
            <v/>
          </cell>
          <cell r="AE378" t="str">
            <v/>
          </cell>
        </row>
        <row r="379">
          <cell r="AD379" t="str">
            <v/>
          </cell>
          <cell r="AE379" t="str">
            <v/>
          </cell>
        </row>
        <row r="380">
          <cell r="AD380" t="str">
            <v/>
          </cell>
          <cell r="AE380" t="str">
            <v/>
          </cell>
        </row>
      </sheetData>
      <sheetData sheetId="1" refreshError="1"/>
      <sheetData sheetId="2" refreshError="1"/>
      <sheetData sheetId="3"/>
      <sheetData sheetId="4" refreshError="1"/>
      <sheetData sheetId="5" refreshError="1"/>
      <sheetData sheetId="6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E2:I292" totalsRowShown="0" headerRowDxfId="18" dataDxfId="16" headerRowBorderDxfId="17" tableBorderDxfId="15">
  <autoFilter ref="E2:I292" xr:uid="{00000000-0009-0000-0100-000001000000}"/>
  <tableColumns count="5">
    <tableColumn id="1" xr3:uid="{00000000-0010-0000-0000-000001000000}" name="ID" dataDxfId="14"/>
    <tableColumn id="2" xr3:uid="{00000000-0010-0000-0000-000002000000}" name="Manager" dataDxfId="13"/>
    <tableColumn id="3" xr3:uid="{00000000-0010-0000-0000-000003000000}" name="UM" dataDxfId="12"/>
    <tableColumn id="4" xr3:uid="{00000000-0010-0000-0000-000004000000}" name="compétence" dataDxfId="11"/>
    <tableColumn id="5" xr3:uid="{00000000-0010-0000-0000-000005000000}" name="Colonne1" dataDxfId="1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FFC000"/>
  </sheetPr>
  <dimension ref="A1:S39"/>
  <sheetViews>
    <sheetView showGridLines="0" zoomScale="80" zoomScaleNormal="80" workbookViewId="0">
      <pane xSplit="19" ySplit="29" topLeftCell="T30" activePane="bottomRight" state="frozen"/>
      <selection pane="topRight" activeCell="T1" sqref="T1"/>
      <selection pane="bottomLeft" activeCell="A30" sqref="A30"/>
      <selection pane="bottomRight" activeCell="O12" sqref="O12"/>
    </sheetView>
  </sheetViews>
  <sheetFormatPr baseColWidth="10" defaultRowHeight="15" x14ac:dyDescent="0.25"/>
  <cols>
    <col min="1" max="1" width="2.28515625" customWidth="1"/>
    <col min="2" max="2" width="2.5703125" customWidth="1"/>
    <col min="3" max="3" width="2.85546875" customWidth="1"/>
    <col min="4" max="4" width="29" customWidth="1"/>
    <col min="5" max="5" width="18.42578125" customWidth="1"/>
    <col min="6" max="6" width="1.28515625" customWidth="1"/>
    <col min="7" max="7" width="40" customWidth="1"/>
    <col min="8" max="8" width="1.140625" customWidth="1"/>
    <col min="9" max="9" width="16.5703125" customWidth="1"/>
    <col min="10" max="10" width="1.140625" customWidth="1"/>
    <col min="11" max="11" width="16.5703125" customWidth="1"/>
    <col min="12" max="12" width="0.85546875" customWidth="1"/>
    <col min="13" max="13" width="20.140625" customWidth="1"/>
    <col min="14" max="14" width="1.28515625" customWidth="1"/>
    <col min="15" max="15" width="88" customWidth="1"/>
    <col min="16" max="16" width="8" customWidth="1"/>
    <col min="17" max="17" width="11.28515625" customWidth="1"/>
    <col min="18" max="18" width="13.28515625" customWidth="1"/>
    <col min="19" max="19" width="0.85546875" customWidth="1"/>
  </cols>
  <sheetData>
    <row r="1" spans="2:19" ht="39.75" customHeight="1" thickBot="1" x14ac:dyDescent="0.3"/>
    <row r="2" spans="2:19" ht="18.75" x14ac:dyDescent="0.25">
      <c r="B2" s="2"/>
      <c r="C2" s="3"/>
      <c r="D2" s="3"/>
      <c r="E2" s="15" t="str">
        <f>IF(E3="","Tapez le Nom ou le Prénom du CEA","")</f>
        <v>Tapez le Nom ou le Prénom du CEA</v>
      </c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10" t="str">
        <f>IF(R3&lt;&gt;"","Pris en charge depuis le :","")</f>
        <v/>
      </c>
      <c r="S2" s="4"/>
    </row>
    <row r="3" spans="2:19" ht="25.5" customHeight="1" x14ac:dyDescent="0.25">
      <c r="B3" s="5"/>
      <c r="C3" s="86" t="s">
        <v>4</v>
      </c>
      <c r="D3" s="86"/>
      <c r="E3" s="56" t="s">
        <v>670</v>
      </c>
      <c r="F3" s="6"/>
      <c r="G3" s="6"/>
      <c r="H3" s="6"/>
      <c r="I3" s="88" t="str">
        <f>IF(R3&lt;&gt;"","Equipe :","")</f>
        <v/>
      </c>
      <c r="J3" s="88"/>
      <c r="K3" s="87" t="str">
        <f>IFERROR(IF(R3&lt;&gt;"",VLOOKUP($E$3,Base!D3:D20,2,0),""),"")</f>
        <v/>
      </c>
      <c r="L3" s="87"/>
      <c r="M3" s="6"/>
      <c r="N3" s="6"/>
      <c r="O3" s="63">
        <f ca="1">TODAY()</f>
        <v>45711</v>
      </c>
      <c r="P3" s="6"/>
      <c r="Q3" s="6"/>
      <c r="R3" s="6"/>
      <c r="S3" s="7"/>
    </row>
    <row r="4" spans="2:19" x14ac:dyDescent="0.25"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7"/>
    </row>
    <row r="5" spans="2:19" ht="15.75" customHeight="1" x14ac:dyDescent="0.3">
      <c r="B5" s="5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6"/>
      <c r="Q5" s="6"/>
      <c r="R5" s="6"/>
      <c r="S5" s="7"/>
    </row>
    <row r="6" spans="2:19" s="46" customFormat="1" ht="21" x14ac:dyDescent="0.3">
      <c r="B6" s="40"/>
      <c r="C6" s="27"/>
      <c r="D6" s="41" t="str">
        <f>IFERROR(VLOOKUP(E3,Base!D:H,2,0),"")</f>
        <v/>
      </c>
      <c r="E6" s="54" t="str">
        <f>IFERROR(VLOOKUP(E3,Base!D:H,3,0),"")</f>
        <v/>
      </c>
      <c r="F6" s="41"/>
      <c r="G6" s="41"/>
      <c r="H6" s="55" t="str">
        <f>IFERROR(VLOOKUP(E3,Base!D:H,4,0),"")</f>
        <v/>
      </c>
      <c r="I6" s="41"/>
      <c r="J6" s="42"/>
      <c r="K6" s="41" t="str">
        <f>IFERROR(VLOOKUP(E3,Base!D:H,5,0),"")</f>
        <v/>
      </c>
      <c r="L6" s="43"/>
      <c r="M6" s="44"/>
      <c r="N6" s="44"/>
      <c r="O6" s="44"/>
      <c r="P6" s="44"/>
      <c r="Q6" s="44"/>
      <c r="R6" s="44"/>
      <c r="S6" s="45"/>
    </row>
    <row r="7" spans="2:19" ht="19.5" thickBot="1" x14ac:dyDescent="0.35">
      <c r="B7" s="5"/>
      <c r="C7" s="27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7"/>
    </row>
    <row r="8" spans="2:19" ht="38.25" thickBot="1" x14ac:dyDescent="0.35">
      <c r="B8" s="5"/>
      <c r="C8" s="27"/>
      <c r="D8" s="53" t="s">
        <v>539</v>
      </c>
      <c r="E8" s="35" t="s">
        <v>540</v>
      </c>
      <c r="F8" s="22"/>
      <c r="G8" s="35" t="s">
        <v>541</v>
      </c>
      <c r="H8" s="22"/>
      <c r="I8" s="35" t="s">
        <v>542</v>
      </c>
      <c r="J8" s="22"/>
      <c r="K8" s="35" t="s">
        <v>543</v>
      </c>
      <c r="L8" s="22"/>
      <c r="M8" s="35" t="s">
        <v>544</v>
      </c>
      <c r="N8" s="22"/>
      <c r="O8" s="35" t="s">
        <v>545</v>
      </c>
      <c r="P8" s="6"/>
      <c r="Q8" s="6"/>
      <c r="R8" s="6"/>
      <c r="S8" s="7"/>
    </row>
    <row r="9" spans="2:19" ht="18.75" x14ac:dyDescent="0.3">
      <c r="B9" s="5"/>
      <c r="C9" s="27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7"/>
    </row>
    <row r="10" spans="2:19" ht="23.25" customHeight="1" x14ac:dyDescent="0.3">
      <c r="B10" s="5"/>
      <c r="C10" s="27"/>
      <c r="D10" s="34">
        <v>32528758</v>
      </c>
      <c r="E10" s="34" t="s">
        <v>547</v>
      </c>
      <c r="F10" s="6"/>
      <c r="G10" s="39" t="s">
        <v>567</v>
      </c>
      <c r="H10" s="6"/>
      <c r="I10" s="34"/>
      <c r="J10" s="6"/>
      <c r="K10" s="34"/>
      <c r="L10" s="6"/>
      <c r="M10" s="34"/>
      <c r="N10" s="6"/>
      <c r="O10" s="34"/>
      <c r="P10" s="6"/>
      <c r="Q10" s="6"/>
      <c r="R10" s="6"/>
      <c r="S10" s="7"/>
    </row>
    <row r="11" spans="2:19" ht="18.75" x14ac:dyDescent="0.3">
      <c r="B11" s="5"/>
      <c r="C11" s="27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7"/>
    </row>
    <row r="12" spans="2:19" x14ac:dyDescent="0.25">
      <c r="B12" s="5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7"/>
    </row>
    <row r="13" spans="2:19" ht="18.75" customHeight="1" thickBot="1" x14ac:dyDescent="0.3">
      <c r="B13" s="5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7"/>
    </row>
    <row r="14" spans="2:19" ht="27" customHeight="1" thickBot="1" x14ac:dyDescent="0.3">
      <c r="B14" s="5"/>
      <c r="C14" s="6"/>
      <c r="D14" s="89" t="s">
        <v>666</v>
      </c>
      <c r="E14" s="90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7"/>
    </row>
    <row r="15" spans="2:19" hidden="1" x14ac:dyDescent="0.25">
      <c r="B15" s="5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7"/>
    </row>
    <row r="16" spans="2:19" hidden="1" x14ac:dyDescent="0.25">
      <c r="B16" s="5"/>
      <c r="C16" s="6" t="s">
        <v>7</v>
      </c>
      <c r="D16" s="6" t="s">
        <v>634</v>
      </c>
      <c r="E16" s="6" t="s">
        <v>635</v>
      </c>
      <c r="F16" s="6" t="s">
        <v>636</v>
      </c>
      <c r="G16" s="6" t="s">
        <v>9</v>
      </c>
      <c r="H16" s="6" t="s">
        <v>637</v>
      </c>
      <c r="I16" s="6" t="s">
        <v>539</v>
      </c>
      <c r="J16" s="6" t="s">
        <v>540</v>
      </c>
      <c r="K16" s="6" t="s">
        <v>541</v>
      </c>
      <c r="L16" s="6" t="s">
        <v>542</v>
      </c>
      <c r="M16" s="6" t="s">
        <v>543</v>
      </c>
      <c r="N16" s="6" t="s">
        <v>544</v>
      </c>
      <c r="O16" s="6" t="s">
        <v>545</v>
      </c>
      <c r="P16" s="6"/>
      <c r="Q16" s="6"/>
      <c r="R16" s="6"/>
      <c r="S16" s="7"/>
    </row>
    <row r="17" spans="1:19" ht="15.75" hidden="1" customHeight="1" x14ac:dyDescent="0.25">
      <c r="B17" s="5"/>
      <c r="C17" s="37">
        <f ca="1">NOW()</f>
        <v>45711.499893749999</v>
      </c>
      <c r="D17" s="6" t="str">
        <f>D6</f>
        <v/>
      </c>
      <c r="E17" s="6"/>
      <c r="F17" s="6" t="str">
        <f>E3</f>
        <v/>
      </c>
      <c r="G17" s="6" t="str">
        <f>E6</f>
        <v/>
      </c>
      <c r="H17" s="6" t="str">
        <f>H6</f>
        <v/>
      </c>
      <c r="I17" s="6">
        <f>D10</f>
        <v>32528758</v>
      </c>
      <c r="J17" s="6" t="str">
        <f>E10</f>
        <v>Missionnement</v>
      </c>
      <c r="K17" s="6" t="str">
        <f>G10</f>
        <v>Missionner un expert terrain ou un ECR</v>
      </c>
      <c r="L17" s="6">
        <f>I10</f>
        <v>0</v>
      </c>
      <c r="M17" s="6">
        <f>K10</f>
        <v>0</v>
      </c>
      <c r="N17" s="6">
        <f>M10</f>
        <v>0</v>
      </c>
      <c r="O17" s="6">
        <f>O10</f>
        <v>0</v>
      </c>
      <c r="P17" s="6"/>
      <c r="Q17" s="6"/>
      <c r="R17" s="6"/>
      <c r="S17" s="7"/>
    </row>
    <row r="18" spans="1:19" ht="21.75" thickBot="1" x14ac:dyDescent="0.3">
      <c r="B18" s="5"/>
      <c r="C18" s="6"/>
      <c r="D18" s="57" t="s">
        <v>7</v>
      </c>
      <c r="E18" s="58" t="s">
        <v>540</v>
      </c>
      <c r="F18" s="58"/>
      <c r="G18" s="58" t="s">
        <v>664</v>
      </c>
      <c r="H18" s="58"/>
      <c r="I18" s="58" t="s">
        <v>542</v>
      </c>
      <c r="J18" s="58"/>
      <c r="K18" s="58" t="s">
        <v>543</v>
      </c>
      <c r="L18" s="58"/>
      <c r="M18" s="58" t="s">
        <v>665</v>
      </c>
      <c r="N18" s="58"/>
      <c r="O18" s="59" t="s">
        <v>545</v>
      </c>
      <c r="P18" s="6"/>
      <c r="Q18" s="6"/>
      <c r="R18" s="6"/>
      <c r="S18" s="7"/>
    </row>
    <row r="19" spans="1:19" ht="15.75" x14ac:dyDescent="0.25">
      <c r="B19" s="5"/>
      <c r="C19" s="6"/>
      <c r="D19" s="60">
        <f t="array" ref="D19">IFERROR(INDEX(BD!$A$10:$A$2000,SMALL(IF($D$6=BD!$B$10:$B$2000,ROW(BD!$B$10:$B$2000)-MIN(ROW(BD!$B$10))+1,""),ROWS(BD!$10:10))),"")</f>
        <v>0</v>
      </c>
      <c r="E19" s="48">
        <f t="array" ref="E19">IFERROR(INDEX(BD!$H$10:$H$2000,SMALL(IF($D$6=BD!$B$10:$B$2000,ROW(BD!$B$10:$B$2000)-MIN(ROW(BD!$B$10))+1,""),ROWS(BD!$10:10))),"")</f>
        <v>0</v>
      </c>
      <c r="F19" s="48"/>
      <c r="G19" s="48">
        <f t="array" ref="G19">IFERROR(INDEX(BD!$I$10:$I$2000,SMALL(IF($D$6=BD!$B$10:$B$2000,ROW(BD!$B$10:$B$2000)-MIN(ROW(BD!$B$10))+1,""),ROWS(BD!$10:10))),"")</f>
        <v>0</v>
      </c>
      <c r="H19" s="48"/>
      <c r="I19" s="48">
        <f t="array" ref="I19">IFERROR(INDEX(BD!$J$10:$J$2000,SMALL(IF($D$6=BD!$B$10:$B$2000,ROW(BD!$B$10:$B$2000)-MIN(ROW(BD!$B$10))+1,""),ROWS(BD!$10:10))),"")</f>
        <v>0</v>
      </c>
      <c r="J19" s="48"/>
      <c r="K19" s="48">
        <f t="array" ref="K19">IFERROR(INDEX(BD!$K$10:$K$2000,SMALL(IF($D$6=BD!$B$10:$B$2000,ROW(BD!$B$10:$B$2000)-MIN(ROW(BD!$B$10))+1,""),ROWS(BD!$10:10))),"")</f>
        <v>0</v>
      </c>
      <c r="L19" s="48"/>
      <c r="M19" s="48">
        <f t="array" ref="M19">IFERROR(INDEX(BD!$L$10:$L$2000,SMALL(IF($D$6=BD!$B$10:$B$2000,ROW(BD!$B$10:$B$2000)-MIN(ROW(BD!$B$10))+1,""),ROWS(BD!$10:10))),"")</f>
        <v>0</v>
      </c>
      <c r="N19" s="48"/>
      <c r="O19" s="49">
        <f t="array" ref="O19">IFERROR(INDEX(BD!$M$10:$M$2000,SMALL(IF($D$6=BD!$B$10:$B$2000,ROW(BD!$B$10:$B$2000)-MIN(ROW(BD!$B$10))+1,""),ROWS(BD!$10:10))),"")</f>
        <v>0</v>
      </c>
      <c r="P19" s="6"/>
      <c r="Q19" s="6"/>
      <c r="R19" s="6"/>
      <c r="S19" s="7"/>
    </row>
    <row r="20" spans="1:19" ht="15" customHeight="1" x14ac:dyDescent="0.25">
      <c r="B20" s="5"/>
      <c r="C20" s="6"/>
      <c r="D20" s="61">
        <f t="array" ref="D20">IFERROR(INDEX(BD!$A$10:$A$2000,SMALL(IF($D$6=BD!$B$10:$B$2000,ROW(BD!$B$10:$B$2000)-MIN(ROW(BD!$B$10))+1,""),ROWS(BD!$10:11))),"")</f>
        <v>0</v>
      </c>
      <c r="E20" s="47">
        <f t="array" ref="E20">IFERROR(INDEX(BD!$H$10:$H$2000,SMALL(IF($D$6=BD!$B$10:$B$2000,ROW(BD!$B$10:$B$2000)-MIN(ROW(BD!$B$10))+1,""),ROWS(BD!$10:11))),"")</f>
        <v>0</v>
      </c>
      <c r="F20" s="47"/>
      <c r="G20" s="47">
        <f t="array" ref="G20">IFERROR(INDEX(BD!$I$10:$I$2000,SMALL(IF($D$6=BD!$B$10:$B$2000,ROW(BD!$B$10:$B$2000)-MIN(ROW(BD!$B$10))+1,""),ROWS(BD!$10:11))),"")</f>
        <v>0</v>
      </c>
      <c r="H20" s="47"/>
      <c r="I20" s="47">
        <f t="array" ref="I20">IFERROR(INDEX(BD!$J$10:$J$2000,SMALL(IF($D$6=BD!$B$10:$B$2000,ROW(BD!$B$10:$B$2000)-MIN(ROW(BD!$B$10))+1,""),ROWS(BD!$10:11))),"")</f>
        <v>0</v>
      </c>
      <c r="J20" s="47"/>
      <c r="K20" s="47">
        <f t="array" ref="K20">IFERROR(INDEX(BD!$K$10:$K$2000,SMALL(IF($D$6=BD!$B$10:$B$2000,ROW(BD!$B$10:$B$2000)-MIN(ROW(BD!$B$10))+1,""),ROWS(BD!$10:11))),"")</f>
        <v>0</v>
      </c>
      <c r="L20" s="47"/>
      <c r="M20" s="47">
        <f t="array" ref="M20">IFERROR(INDEX(BD!$L$10:$L$2000,SMALL(IF($D$6=BD!$B$10:$B$2000,ROW(BD!$B$10:$B$2000)-MIN(ROW(BD!$B$10))+1,""),ROWS(BD!$10:11))),"")</f>
        <v>0</v>
      </c>
      <c r="N20" s="47"/>
      <c r="O20" s="50">
        <f t="array" ref="O20">IFERROR(INDEX(BD!$M$10:$M$2000,SMALL(IF($D$6=BD!$B$10:$B$2000,ROW(BD!$B$10:$B$2000)-MIN(ROW(BD!$B$10))+1,""),ROWS(BD!$10:11))),"")</f>
        <v>0</v>
      </c>
      <c r="P20" s="6"/>
      <c r="Q20" s="6"/>
      <c r="R20" s="6"/>
      <c r="S20" s="7"/>
    </row>
    <row r="21" spans="1:19" ht="15.75" x14ac:dyDescent="0.25">
      <c r="B21" s="5"/>
      <c r="C21" s="6"/>
      <c r="D21" s="61">
        <f t="array" ref="D21">IFERROR(INDEX(BD!$A$10:$A$2000,SMALL(IF($D$6=BD!$B$10:$B$2000,ROW(BD!$B$10:$B$2000)-MIN(ROW(BD!$B$10))+1,""),ROWS(BD!$10:12))),"")</f>
        <v>0</v>
      </c>
      <c r="E21" s="47">
        <f t="array" ref="E21">IFERROR(INDEX(BD!$H$10:$H$2000,SMALL(IF($D$6=BD!$B$10:$B$2000,ROW(BD!$B$10:$B$2000)-MIN(ROW(BD!$B$10))+1,""),ROWS(BD!$10:12))),"")</f>
        <v>0</v>
      </c>
      <c r="F21" s="47"/>
      <c r="G21" s="47">
        <f t="array" ref="G21">IFERROR(INDEX(BD!$I$10:$I$2000,SMALL(IF($D$6=BD!$B$10:$B$2000,ROW(BD!$B$10:$B$2000)-MIN(ROW(BD!$B$10))+1,""),ROWS(BD!$10:12))),"")</f>
        <v>0</v>
      </c>
      <c r="H21" s="47"/>
      <c r="I21" s="47">
        <f t="array" ref="I21">IFERROR(INDEX(BD!$J$10:$J$2000,SMALL(IF($D$6=BD!$B$10:$B$2000,ROW(BD!$B$10:$B$2000)-MIN(ROW(BD!$B$10))+1,""),ROWS(BD!$10:12))),"")</f>
        <v>0</v>
      </c>
      <c r="J21" s="47"/>
      <c r="K21" s="47">
        <f t="array" ref="K21">IFERROR(INDEX(BD!$K$10:$K$2000,SMALL(IF($D$6=BD!$B$10:$B$2000,ROW(BD!$B$10:$B$2000)-MIN(ROW(BD!$B$10))+1,""),ROWS(BD!$10:12))),"")</f>
        <v>0</v>
      </c>
      <c r="L21" s="47"/>
      <c r="M21" s="47">
        <f t="array" ref="M21">IFERROR(INDEX(BD!$L$10:$L$2000,SMALL(IF($D$6=BD!$B$10:$B$2000,ROW(BD!$B$10:$B$2000)-MIN(ROW(BD!$B$10))+1,""),ROWS(BD!$10:12))),"")</f>
        <v>0</v>
      </c>
      <c r="N21" s="47"/>
      <c r="O21" s="50">
        <f t="array" ref="O21">IFERROR(INDEX(BD!$M$10:$M$2000,SMALL(IF($D$6=BD!$B$10:$B$2000,ROW(BD!$B$10:$B$2000)-MIN(ROW(BD!$B$10))+1,""),ROWS(BD!$10:12))),"")</f>
        <v>0</v>
      </c>
      <c r="P21" s="6"/>
      <c r="Q21" s="6"/>
      <c r="R21" s="6"/>
      <c r="S21" s="7"/>
    </row>
    <row r="22" spans="1:19" ht="15.75" x14ac:dyDescent="0.25">
      <c r="B22" s="5"/>
      <c r="C22" s="6"/>
      <c r="D22" s="61">
        <f t="array" ref="D22">IFERROR(INDEX(BD!$A$10:$A$2000,SMALL(IF($D$6=BD!$B$10:$B$2000,ROW(BD!$B$10:$B$2000)-MIN(ROW(BD!$B$10))+1,""),ROWS(BD!$10:13))),"")</f>
        <v>0</v>
      </c>
      <c r="E22" s="47">
        <f t="array" ref="E22">IFERROR(INDEX(BD!$H$10:$H$2000,SMALL(IF($D$6=BD!$B$10:$B$2000,ROW(BD!$B$10:$B$2000)-MIN(ROW(BD!$B$10))+1,""),ROWS(BD!$10:13))),"")</f>
        <v>0</v>
      </c>
      <c r="F22" s="47"/>
      <c r="G22" s="47">
        <f t="array" ref="G22">IFERROR(INDEX(BD!$I$10:$I$2000,SMALL(IF($D$6=BD!$B$10:$B$2000,ROW(BD!$B$10:$B$2000)-MIN(ROW(BD!$B$10))+1,""),ROWS(BD!$10:13))),"")</f>
        <v>0</v>
      </c>
      <c r="H22" s="47"/>
      <c r="I22" s="47">
        <f t="array" ref="I22">IFERROR(INDEX(BD!$J$10:$J$2000,SMALL(IF($D$6=BD!$B$10:$B$2000,ROW(BD!$B$10:$B$2000)-MIN(ROW(BD!$B$10))+1,""),ROWS(BD!$10:13))),"")</f>
        <v>0</v>
      </c>
      <c r="J22" s="47"/>
      <c r="K22" s="47">
        <f t="array" ref="K22">IFERROR(INDEX(BD!$K$10:$K$2000,SMALL(IF($D$6=BD!$B$10:$B$2000,ROW(BD!$B$10:$B$2000)-MIN(ROW(BD!$B$10))+1,""),ROWS(BD!$10:13))),"")</f>
        <v>0</v>
      </c>
      <c r="L22" s="47"/>
      <c r="M22" s="47">
        <f t="array" ref="M22">IFERROR(INDEX(BD!$L$10:$L$2000,SMALL(IF($D$6=BD!$B$10:$B$2000,ROW(BD!$B$10:$B$2000)-MIN(ROW(BD!$B$10))+1,""),ROWS(BD!$10:13))),"")</f>
        <v>0</v>
      </c>
      <c r="N22" s="47"/>
      <c r="O22" s="50">
        <f t="array" ref="O22">IFERROR(INDEX(BD!$M$10:$M$2000,SMALL(IF($D$6=BD!$B$10:$B$2000,ROW(BD!$B$10:$B$2000)-MIN(ROW(BD!$B$10))+1,""),ROWS(BD!$10:13))),"")</f>
        <v>0</v>
      </c>
      <c r="P22" s="6"/>
      <c r="Q22" s="6"/>
      <c r="R22" s="6"/>
      <c r="S22" s="7"/>
    </row>
    <row r="23" spans="1:19" ht="16.5" customHeight="1" x14ac:dyDescent="0.25">
      <c r="B23" s="5"/>
      <c r="C23" s="6"/>
      <c r="D23" s="61">
        <f t="array" ref="D23">IFERROR(INDEX(BD!$A$10:$A$2000,SMALL(IF($D$6=BD!$B$10:$B$2000,ROW(BD!$B$10:$B$2000)-MIN(ROW(BD!$B$10))+1,""),ROWS(BD!$10:14))),"")</f>
        <v>0</v>
      </c>
      <c r="E23" s="47">
        <f t="array" ref="E23">IFERROR(INDEX(BD!$H$10:$H$2000,SMALL(IF($D$6=BD!$B$10:$B$2000,ROW(BD!$B$10:$B$2000)-MIN(ROW(BD!$B$10))+1,""),ROWS(BD!$10:14))),"")</f>
        <v>0</v>
      </c>
      <c r="F23" s="47"/>
      <c r="G23" s="47">
        <f t="array" ref="G23">IFERROR(INDEX(BD!$I$10:$I$2000,SMALL(IF($D$6=BD!$B$10:$B$2000,ROW(BD!$B$10:$B$2000)-MIN(ROW(BD!$B$10))+1,""),ROWS(BD!$10:14))),"")</f>
        <v>0</v>
      </c>
      <c r="H23" s="47"/>
      <c r="I23" s="47">
        <f t="array" ref="I23">IFERROR(INDEX(BD!$J$10:$J$2000,SMALL(IF($D$6=BD!$B$10:$B$2000,ROW(BD!$B$10:$B$2000)-MIN(ROW(BD!$B$10))+1,""),ROWS(BD!$10:14))),"")</f>
        <v>0</v>
      </c>
      <c r="J23" s="47"/>
      <c r="K23" s="47">
        <f t="array" ref="K23">IFERROR(INDEX(BD!$K$10:$K$2000,SMALL(IF($D$6=BD!$B$10:$B$2000,ROW(BD!$B$10:$B$2000)-MIN(ROW(BD!$B$10))+1,""),ROWS(BD!$10:14))),"")</f>
        <v>0</v>
      </c>
      <c r="L23" s="47"/>
      <c r="M23" s="47">
        <f t="array" ref="M23">IFERROR(INDEX(BD!$L$10:$L$2000,SMALL(IF($D$6=BD!$B$10:$B$2000,ROW(BD!$B$10:$B$2000)-MIN(ROW(BD!$B$10))+1,""),ROWS(BD!$10:14))),"")</f>
        <v>0</v>
      </c>
      <c r="N23" s="47"/>
      <c r="O23" s="50">
        <f t="array" ref="O23">IFERROR(INDEX(BD!$M$10:$M$2000,SMALL(IF($D$6=BD!$B$10:$B$2000,ROW(BD!$B$10:$B$2000)-MIN(ROW(BD!$B$10))+1,""),ROWS(BD!$10:14))),"")</f>
        <v>0</v>
      </c>
      <c r="P23" s="6"/>
      <c r="Q23" s="6"/>
      <c r="R23" s="6"/>
      <c r="S23" s="7"/>
    </row>
    <row r="24" spans="1:19" ht="15.75" x14ac:dyDescent="0.25">
      <c r="B24" s="5"/>
      <c r="C24" s="6"/>
      <c r="D24" s="61">
        <f t="array" ref="D24">IFERROR(INDEX(BD!$A$10:$A$2000,SMALL(IF($D$6=BD!$B$10:$B$2000,ROW(BD!$B$10:$B$2000)-MIN(ROW(BD!$B$10))+1,""),ROWS(BD!$10:15))),"")</f>
        <v>0</v>
      </c>
      <c r="E24" s="47">
        <f t="array" ref="E24">IFERROR(INDEX(BD!$H$10:$H$2000,SMALL(IF($D$6=BD!$B$10:$B$2000,ROW(BD!$B$10:$B$2000)-MIN(ROW(BD!$B$10))+1,""),ROWS(BD!$10:15))),"")</f>
        <v>0</v>
      </c>
      <c r="F24" s="47"/>
      <c r="G24" s="47">
        <f t="array" ref="G24">IFERROR(INDEX(BD!$I$10:$I$2000,SMALL(IF($D$6=BD!$B$10:$B$2000,ROW(BD!$B$10:$B$2000)-MIN(ROW(BD!$B$10))+1,""),ROWS(BD!$10:15))),"")</f>
        <v>0</v>
      </c>
      <c r="H24" s="47"/>
      <c r="I24" s="47">
        <f t="array" ref="I24">IFERROR(INDEX(BD!$J$10:$J$2000,SMALL(IF($D$6=BD!$B$10:$B$2000,ROW(BD!$B$10:$B$2000)-MIN(ROW(BD!$B$10))+1,""),ROWS(BD!$10:15))),"")</f>
        <v>0</v>
      </c>
      <c r="J24" s="47"/>
      <c r="K24" s="47">
        <f t="array" ref="K24">IFERROR(INDEX(BD!$K$10:$K$2000,SMALL(IF($D$6=BD!$B$10:$B$2000,ROW(BD!$B$10:$B$2000)-MIN(ROW(BD!$B$10))+1,""),ROWS(BD!$10:15))),"")</f>
        <v>0</v>
      </c>
      <c r="L24" s="47"/>
      <c r="M24" s="47">
        <f t="array" ref="M24">IFERROR(INDEX(BD!$L$10:$L$2000,SMALL(IF($D$6=BD!$B$10:$B$2000,ROW(BD!$B$10:$B$2000)-MIN(ROW(BD!$B$10))+1,""),ROWS(BD!$10:15))),"")</f>
        <v>0</v>
      </c>
      <c r="N24" s="47"/>
      <c r="O24" s="50">
        <f t="array" ref="O24">IFERROR(INDEX(BD!$M$10:$M$2000,SMALL(IF($D$6=BD!$B$10:$B$2000,ROW(BD!$B$10:$B$2000)-MIN(ROW(BD!$B$10))+1,""),ROWS(BD!$10:15))),"")</f>
        <v>0</v>
      </c>
      <c r="P24" s="6"/>
      <c r="Q24" s="6"/>
      <c r="R24" s="6"/>
      <c r="S24" s="7"/>
    </row>
    <row r="25" spans="1:19" ht="15.75" x14ac:dyDescent="0.25">
      <c r="B25" s="5"/>
      <c r="C25" s="6"/>
      <c r="D25" s="61">
        <f t="array" ref="D25">IFERROR(INDEX(BD!$A$10:$A$2000,SMALL(IF($D$6=BD!$B$10:$B$2000,ROW(BD!$B$10:$B$2000)-MIN(ROW(BD!$B$10))+1,""),ROWS(BD!$10:16))),"")</f>
        <v>0</v>
      </c>
      <c r="E25" s="47">
        <f t="array" ref="E25">IFERROR(INDEX(BD!$H$10:$H$2000,SMALL(IF($D$6=BD!$B$10:$B$2000,ROW(BD!$B$10:$B$2000)-MIN(ROW(BD!$B$10))+1,""),ROWS(BD!$10:16))),"")</f>
        <v>0</v>
      </c>
      <c r="F25" s="47"/>
      <c r="G25" s="47">
        <f t="array" ref="G25">IFERROR(INDEX(BD!$I$10:$I$2000,SMALL(IF($D$6=BD!$B$10:$B$2000,ROW(BD!$B$10:$B$2000)-MIN(ROW(BD!$B$10))+1,""),ROWS(BD!$10:16))),"")</f>
        <v>0</v>
      </c>
      <c r="H25" s="47"/>
      <c r="I25" s="47">
        <f t="array" ref="I25">IFERROR(INDEX(BD!$J$10:$J$2000,SMALL(IF($D$6=BD!$B$10:$B$2000,ROW(BD!$B$10:$B$2000)-MIN(ROW(BD!$B$10))+1,""),ROWS(BD!$10:16))),"")</f>
        <v>0</v>
      </c>
      <c r="J25" s="47"/>
      <c r="K25" s="47">
        <f t="array" ref="K25">IFERROR(INDEX(BD!$K$10:$K$2000,SMALL(IF($D$6=BD!$B$10:$B$2000,ROW(BD!$B$10:$B$2000)-MIN(ROW(BD!$B$10))+1,""),ROWS(BD!$10:16))),"")</f>
        <v>0</v>
      </c>
      <c r="L25" s="47"/>
      <c r="M25" s="47">
        <f t="array" ref="M25">IFERROR(INDEX(BD!$L$10:$L$2000,SMALL(IF($D$6=BD!$B$10:$B$2000,ROW(BD!$B$10:$B$2000)-MIN(ROW(BD!$B$10))+1,""),ROWS(BD!$10:16))),"")</f>
        <v>0</v>
      </c>
      <c r="N25" s="47"/>
      <c r="O25" s="50">
        <f t="array" ref="O25">IFERROR(INDEX(BD!$M$10:$M$2000,SMALL(IF($D$6=BD!$B$10:$B$2000,ROW(BD!$B$10:$B$2000)-MIN(ROW(BD!$B$10))+1,""),ROWS(BD!$10:16))),"")</f>
        <v>0</v>
      </c>
      <c r="P25" s="6"/>
      <c r="Q25" s="6"/>
      <c r="R25" s="6"/>
      <c r="S25" s="7"/>
    </row>
    <row r="26" spans="1:19" ht="15.75" x14ac:dyDescent="0.25">
      <c r="B26" s="5"/>
      <c r="C26" s="6"/>
      <c r="D26" s="61">
        <f t="array" ref="D26">IFERROR(INDEX(BD!$A$10:$A$2000,SMALL(IF($D$6=BD!$B$10:$B$2000,ROW(BD!$B$10:$B$2000)-MIN(ROW(BD!$B$10))+1,""),ROWS(BD!$10:17))),"")</f>
        <v>0</v>
      </c>
      <c r="E26" s="47">
        <f t="array" ref="E26">IFERROR(INDEX(BD!$H$10:$H$2000,SMALL(IF($D$6=BD!$B$10:$B$2000,ROW(BD!$B$10:$B$2000)-MIN(ROW(BD!$B$10))+1,""),ROWS(BD!$10:17))),"")</f>
        <v>0</v>
      </c>
      <c r="F26" s="47"/>
      <c r="G26" s="47">
        <f t="array" ref="G26">IFERROR(INDEX(BD!$I$10:$I$2000,SMALL(IF($D$6=BD!$B$10:$B$2000,ROW(BD!$B$10:$B$2000)-MIN(ROW(BD!$B$10))+1,""),ROWS(BD!$10:17))),"")</f>
        <v>0</v>
      </c>
      <c r="H26" s="47"/>
      <c r="I26" s="47">
        <f t="array" ref="I26">IFERROR(INDEX(BD!$J$10:$J$2000,SMALL(IF($D$6=BD!$B$10:$B$2000,ROW(BD!$B$10:$B$2000)-MIN(ROW(BD!$B$10))+1,""),ROWS(BD!$10:17))),"")</f>
        <v>0</v>
      </c>
      <c r="J26" s="47"/>
      <c r="K26" s="47">
        <f t="array" ref="K26">IFERROR(INDEX(BD!$K$10:$K$2000,SMALL(IF($D$6=BD!$B$10:$B$2000,ROW(BD!$B$10:$B$2000)-MIN(ROW(BD!$B$10))+1,""),ROWS(BD!$10:17))),"")</f>
        <v>0</v>
      </c>
      <c r="L26" s="47"/>
      <c r="M26" s="47">
        <f t="array" ref="M26">IFERROR(INDEX(BD!$L$10:$L$2000,SMALL(IF($D$6=BD!$B$10:$B$2000,ROW(BD!$B$10:$B$2000)-MIN(ROW(BD!$B$10))+1,""),ROWS(BD!$10:17))),"")</f>
        <v>0</v>
      </c>
      <c r="N26" s="47"/>
      <c r="O26" s="50">
        <f t="array" ref="O26">IFERROR(INDEX(BD!$M$10:$M$2000,SMALL(IF($D$6=BD!$B$10:$B$2000,ROW(BD!$B$10:$B$2000)-MIN(ROW(BD!$B$10))+1,""),ROWS(BD!$10:17))),"")</f>
        <v>0</v>
      </c>
      <c r="P26" s="6"/>
      <c r="Q26" s="6"/>
      <c r="R26" s="6"/>
      <c r="S26" s="7"/>
    </row>
    <row r="27" spans="1:19" ht="16.5" thickBot="1" x14ac:dyDescent="0.3">
      <c r="B27" s="5"/>
      <c r="C27" s="6"/>
      <c r="D27" s="62">
        <f t="array" ref="D27">IFERROR(INDEX(BD!$A$10:$A$2000,SMALL(IF($D$6=BD!$B$10:$B$2000,ROW(BD!$B$10:$B$2000)-MIN(ROW(BD!$B$10))+1,""),ROWS(BD!$10:18))),"")</f>
        <v>0</v>
      </c>
      <c r="E27" s="51">
        <f t="array" ref="E27">IFERROR(INDEX(BD!$H$10:$H$2000,SMALL(IF($D$6=BD!$B$10:$B$2000,ROW(BD!$B$10:$B$2000)-MIN(ROW(BD!$B$10))+1,""),ROWS(BD!$10:18))),"")</f>
        <v>0</v>
      </c>
      <c r="F27" s="51"/>
      <c r="G27" s="51">
        <f t="array" ref="G27">IFERROR(INDEX(BD!$I$10:$I$2000,SMALL(IF($D$6=BD!$B$10:$B$2000,ROW(BD!$B$10:$B$2000)-MIN(ROW(BD!$B$10))+1,""),ROWS(BD!$10:18))),"")</f>
        <v>0</v>
      </c>
      <c r="H27" s="51"/>
      <c r="I27" s="51">
        <f t="array" ref="I27">IFERROR(INDEX(BD!$J$10:$J$2000,SMALL(IF($D$6=BD!$B$10:$B$2000,ROW(BD!$B$10:$B$2000)-MIN(ROW(BD!$B$10))+1,""),ROWS(BD!$10:18))),"")</f>
        <v>0</v>
      </c>
      <c r="J27" s="51"/>
      <c r="K27" s="51">
        <f t="array" ref="K27">IFERROR(INDEX(BD!$K$10:$K$2000,SMALL(IF($D$6=BD!$B$10:$B$2000,ROW(BD!$B$10:$B$2000)-MIN(ROW(BD!$B$10))+1,""),ROWS(BD!$10:18))),"")</f>
        <v>0</v>
      </c>
      <c r="L27" s="51"/>
      <c r="M27" s="51">
        <f t="array" ref="M27">IFERROR(INDEX(BD!$L$10:$L$2000,SMALL(IF($D$6=BD!$B$10:$B$2000,ROW(BD!$B$10:$B$2000)-MIN(ROW(BD!$B$10))+1,""),ROWS(BD!$10:18))),"")</f>
        <v>0</v>
      </c>
      <c r="N27" s="51"/>
      <c r="O27" s="52">
        <f t="array" ref="O27">IFERROR(INDEX(BD!$M$10:$M$2000,SMALL(IF($D$6=BD!$B$10:$B$2000,ROW(BD!$B$10:$B$2000)-MIN(ROW(BD!$B$10))+1,""),ROWS(BD!$10:18))),"")</f>
        <v>0</v>
      </c>
      <c r="P27" s="6"/>
      <c r="Q27" s="6"/>
      <c r="R27" s="6"/>
      <c r="S27" s="7"/>
    </row>
    <row r="28" spans="1:19" ht="30" customHeight="1" x14ac:dyDescent="0.25"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7"/>
    </row>
    <row r="29" spans="1:19" x14ac:dyDescent="0.25">
      <c r="A29" s="64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7"/>
    </row>
    <row r="30" spans="1:19" x14ac:dyDescent="0.25">
      <c r="A30" s="64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7"/>
    </row>
    <row r="31" spans="1:19" x14ac:dyDescent="0.25">
      <c r="A31" s="64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7"/>
    </row>
    <row r="32" spans="1:19" x14ac:dyDescent="0.25">
      <c r="A32" s="64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7"/>
    </row>
    <row r="33" spans="1:19" x14ac:dyDescent="0.25">
      <c r="A33" s="64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7"/>
    </row>
    <row r="34" spans="1:19" x14ac:dyDescent="0.25">
      <c r="A34" s="64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7"/>
    </row>
    <row r="35" spans="1:19" x14ac:dyDescent="0.25">
      <c r="A35" s="64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7"/>
    </row>
    <row r="36" spans="1:19" x14ac:dyDescent="0.25">
      <c r="A36" s="64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7"/>
    </row>
    <row r="37" spans="1:19" x14ac:dyDescent="0.25">
      <c r="A37" s="64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7"/>
    </row>
    <row r="38" spans="1:19" x14ac:dyDescent="0.25">
      <c r="A38" s="6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7"/>
    </row>
    <row r="39" spans="1:19" ht="15.75" thickBot="1" x14ac:dyDescent="0.3">
      <c r="A39" s="64"/>
      <c r="B39" s="8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7"/>
    </row>
  </sheetData>
  <mergeCells count="4">
    <mergeCell ref="C3:D3"/>
    <mergeCell ref="K3:L3"/>
    <mergeCell ref="I3:J3"/>
    <mergeCell ref="D14:E14"/>
  </mergeCells>
  <conditionalFormatting sqref="D17 J17">
    <cfRule type="cellIs" dxfId="9" priority="11" operator="equal">
      <formula>""</formula>
    </cfRule>
    <cfRule type="cellIs" dxfId="8" priority="12" operator="between">
      <formula>85%</formula>
      <formula>100%</formula>
    </cfRule>
    <cfRule type="cellIs" dxfId="7" priority="13" operator="lessThan">
      <formula>85%</formula>
    </cfRule>
  </conditionalFormatting>
  <conditionalFormatting sqref="E19:E27">
    <cfRule type="cellIs" dxfId="6" priority="7" operator="equal">
      <formula>0</formula>
    </cfRule>
  </conditionalFormatting>
  <conditionalFormatting sqref="G19:G27">
    <cfRule type="cellIs" dxfId="5" priority="6" operator="equal">
      <formula>0</formula>
    </cfRule>
  </conditionalFormatting>
  <conditionalFormatting sqref="I19:I27">
    <cfRule type="cellIs" dxfId="4" priority="5" operator="equal">
      <formula>0</formula>
    </cfRule>
  </conditionalFormatting>
  <conditionalFormatting sqref="K19:K27">
    <cfRule type="cellIs" dxfId="3" priority="4" operator="equal">
      <formula>0</formula>
    </cfRule>
  </conditionalFormatting>
  <conditionalFormatting sqref="M19:M27">
    <cfRule type="cellIs" dxfId="2" priority="3" operator="equal">
      <formula>0</formula>
    </cfRule>
  </conditionalFormatting>
  <conditionalFormatting sqref="O19:O27">
    <cfRule type="cellIs" dxfId="1" priority="2" operator="equal">
      <formula>0</formula>
    </cfRule>
  </conditionalFormatting>
  <conditionalFormatting sqref="D19:D27">
    <cfRule type="cellIs" dxfId="0" priority="1" operator="equal">
      <formula>0</formula>
    </cfRule>
  </conditionalFormatting>
  <dataValidations count="1">
    <dataValidation type="list" allowBlank="1" showInputMessage="1" showErrorMessage="1" sqref="G10" xr:uid="{00000000-0002-0000-0000-000000000000}">
      <formula1>INDIRECT($E10)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5" r:id="rId4" name="ComboBox1">
          <controlPr locked="0" defaultSize="0" autoLine="0" linkedCell="E3" listFillRange="Cherch" r:id="rId5">
            <anchor moveWithCells="1">
              <from>
                <xdr:col>4</xdr:col>
                <xdr:colOff>0</xdr:colOff>
                <xdr:row>1</xdr:row>
                <xdr:rowOff>228600</xdr:rowOff>
              </from>
              <to>
                <xdr:col>6</xdr:col>
                <xdr:colOff>1876425</xdr:colOff>
                <xdr:row>3</xdr:row>
                <xdr:rowOff>19050</xdr:rowOff>
              </to>
            </anchor>
          </controlPr>
        </control>
      </mc:Choice>
      <mc:Fallback>
        <control shapeId="1025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1000000}">
          <x14:formula1>
            <xm:f>Categorie!C24:C30</xm:f>
          </x14:formula1>
          <xm:sqref>I10</xm:sqref>
        </x14:dataValidation>
        <x14:dataValidation type="list" allowBlank="1" showInputMessage="1" showErrorMessage="1" xr:uid="{00000000-0002-0000-0000-000002000000}">
          <x14:formula1>
            <xm:f>Categorie!C7:C13</xm:f>
          </x14:formula1>
          <xm:sqref>E10</xm:sqref>
        </x14:dataValidation>
        <x14:dataValidation type="list" allowBlank="1" showInputMessage="1" showErrorMessage="1" xr:uid="{00000000-0002-0000-0000-000003000000}">
          <x14:formula1>
            <xm:f>Categorie!E24:E25</xm:f>
          </x14:formula1>
          <xm:sqref>K10</xm:sqref>
        </x14:dataValidation>
        <x14:dataValidation type="list" allowBlank="1" showInputMessage="1" showErrorMessage="1" xr:uid="{00000000-0002-0000-0000-000004000000}">
          <x14:formula1>
            <xm:f>Base!A11:A13</xm:f>
          </x14:formula1>
          <xm:sqref>M10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2:L297"/>
  <sheetViews>
    <sheetView zoomScale="80" zoomScaleNormal="80" workbookViewId="0">
      <selection activeCell="H12" sqref="H12"/>
    </sheetView>
  </sheetViews>
  <sheetFormatPr baseColWidth="10" defaultRowHeight="15" x14ac:dyDescent="0.25"/>
  <cols>
    <col min="1" max="3" width="11.42578125" style="1"/>
    <col min="4" max="4" width="20.7109375" style="1" customWidth="1"/>
    <col min="5" max="7" width="11.42578125" style="1"/>
    <col min="8" max="8" width="14" style="1" customWidth="1"/>
    <col min="10" max="11" width="11.42578125" style="1" customWidth="1"/>
    <col min="12" max="12" width="33.7109375" style="1" bestFit="1" customWidth="1"/>
    <col min="13" max="16384" width="11.42578125" style="1"/>
  </cols>
  <sheetData>
    <row r="2" spans="1:12" ht="15.75" thickBot="1" x14ac:dyDescent="0.3">
      <c r="D2" s="19" t="s">
        <v>0</v>
      </c>
      <c r="E2" s="18" t="s">
        <v>8</v>
      </c>
      <c r="F2" s="18" t="s">
        <v>9</v>
      </c>
      <c r="G2" s="18" t="s">
        <v>10</v>
      </c>
      <c r="H2" s="18" t="s">
        <v>11</v>
      </c>
      <c r="I2" t="s">
        <v>538</v>
      </c>
    </row>
    <row r="3" spans="1:12" ht="16.5" thickTop="1" thickBot="1" x14ac:dyDescent="0.3">
      <c r="A3" s="23" t="s">
        <v>5</v>
      </c>
      <c r="B3" s="23" t="s">
        <v>548</v>
      </c>
      <c r="C3" s="26" t="s">
        <v>551</v>
      </c>
      <c r="D3" s="16" t="s">
        <v>12</v>
      </c>
      <c r="E3" s="11" t="s">
        <v>13</v>
      </c>
      <c r="F3" s="11" t="s">
        <v>14</v>
      </c>
      <c r="G3" s="11" t="s">
        <v>15</v>
      </c>
      <c r="H3" s="11" t="s">
        <v>16</v>
      </c>
      <c r="J3" s="1">
        <f t="array" ref="J3">--ISNUMBER(IFERROR(SEARCH(Synthése!$E$3,D3,1),""))</f>
        <v>1</v>
      </c>
      <c r="K3" s="1">
        <f>IF(J3=1,COUNTIF($J$3:J3,1),"")</f>
        <v>1</v>
      </c>
      <c r="L3" s="1" t="str">
        <f t="array" ref="L3">IFERROR(INDEX($D$3:$D$300,MATCH(ROWS($K$3:K3),$K$3:$K$300,0)),"")</f>
        <v>MESNAOUI  RYM</v>
      </c>
    </row>
    <row r="4" spans="1:12" ht="16.5" thickTop="1" thickBot="1" x14ac:dyDescent="0.3">
      <c r="A4" s="24" t="s">
        <v>546</v>
      </c>
      <c r="B4" s="24" t="s">
        <v>549</v>
      </c>
      <c r="C4" s="25" t="s">
        <v>552</v>
      </c>
      <c r="D4" s="16" t="s">
        <v>17</v>
      </c>
      <c r="E4" s="1" t="s">
        <v>18</v>
      </c>
      <c r="F4" s="1" t="s">
        <v>14</v>
      </c>
      <c r="G4" s="1" t="s">
        <v>15</v>
      </c>
      <c r="H4" s="12" t="s">
        <v>16</v>
      </c>
      <c r="J4" s="1">
        <f t="array" ref="J4">--ISNUMBER(IFERROR(SEARCH(Synthése!$E$3,D4,1),""))</f>
        <v>1</v>
      </c>
      <c r="K4" s="1">
        <f>IF(J4=1,COUNTIF($J$3:J4,1),"")</f>
        <v>2</v>
      </c>
      <c r="L4" s="1" t="str">
        <f t="array" ref="L4">IFERROR(INDEX($D$3:$D$300,MATCH(ROWS($K$3:K4),$K$3:$K$300,0)),"")</f>
        <v>NAJIB  Amal</v>
      </c>
    </row>
    <row r="5" spans="1:12" ht="16.5" thickTop="1" thickBot="1" x14ac:dyDescent="0.3">
      <c r="A5" s="25" t="s">
        <v>547</v>
      </c>
      <c r="B5" s="24" t="s">
        <v>550</v>
      </c>
      <c r="D5" s="16" t="s">
        <v>19</v>
      </c>
      <c r="E5" s="1" t="s">
        <v>20</v>
      </c>
      <c r="F5" s="1" t="s">
        <v>14</v>
      </c>
      <c r="G5" s="1" t="s">
        <v>15</v>
      </c>
      <c r="H5" s="11" t="s">
        <v>16</v>
      </c>
      <c r="J5" s="1">
        <f t="array" ref="J5">--ISNUMBER(IFERROR(SEARCH(Synthése!$E$3,D5,1),""))</f>
        <v>1</v>
      </c>
      <c r="K5" s="1">
        <f>IF(J5=1,COUNTIF($J$3:J5,1),"")</f>
        <v>3</v>
      </c>
      <c r="L5" s="1" t="str">
        <f t="array" ref="L5">IFERROR(INDEX($D$3:$D$300,MATCH(ROWS($K$3:K5),$K$3:$K$300,0)),"")</f>
        <v>BJITAR   YASSINE</v>
      </c>
    </row>
    <row r="6" spans="1:12" ht="16.5" thickTop="1" thickBot="1" x14ac:dyDescent="0.3">
      <c r="A6" s="24" t="s">
        <v>6</v>
      </c>
      <c r="B6" s="24"/>
      <c r="D6" s="16" t="s">
        <v>21</v>
      </c>
      <c r="E6" s="1" t="s">
        <v>22</v>
      </c>
      <c r="F6" s="1" t="s">
        <v>14</v>
      </c>
      <c r="G6" s="1" t="s">
        <v>15</v>
      </c>
      <c r="H6" s="12" t="s">
        <v>16</v>
      </c>
      <c r="J6" s="1">
        <f t="array" ref="J6">--ISNUMBER(IFERROR(SEARCH(Synthése!$E$3,D6,1),""))</f>
        <v>1</v>
      </c>
      <c r="K6" s="1">
        <f>IF(J6=1,COUNTIF($J$3:J6,1),"")</f>
        <v>4</v>
      </c>
      <c r="L6" s="1" t="str">
        <f t="array" ref="L6">IFERROR(INDEX($D$3:$D$300,MATCH(ROWS($K$3:K6),$K$3:$K$300,0)),"")</f>
        <v>AMRANI  Cherifa Malika</v>
      </c>
    </row>
    <row r="7" spans="1:12" ht="16.5" thickTop="1" thickBot="1" x14ac:dyDescent="0.3">
      <c r="D7" s="16" t="s">
        <v>23</v>
      </c>
      <c r="E7" s="1" t="s">
        <v>24</v>
      </c>
      <c r="F7" s="1" t="s">
        <v>14</v>
      </c>
      <c r="G7" s="1" t="s">
        <v>15</v>
      </c>
      <c r="H7" s="11" t="s">
        <v>16</v>
      </c>
      <c r="J7" s="1">
        <f t="array" ref="J7">--ISNUMBER(IFERROR(SEARCH(Synthése!$E$3,D7,1),""))</f>
        <v>1</v>
      </c>
      <c r="K7" s="1">
        <f>IF(J7=1,COUNTIF($J$3:J7,1),"")</f>
        <v>5</v>
      </c>
      <c r="L7" s="1" t="str">
        <f t="array" ref="L7">IFERROR(INDEX($D$3:$D$300,MATCH(ROWS($K$3:K7),$K$3:$K$300,0)),"")</f>
        <v>ABOURIDA  Soufiane</v>
      </c>
    </row>
    <row r="8" spans="1:12" ht="16.5" thickTop="1" thickBot="1" x14ac:dyDescent="0.3">
      <c r="D8" s="16" t="s">
        <v>25</v>
      </c>
      <c r="E8" s="1" t="s">
        <v>26</v>
      </c>
      <c r="F8" s="1" t="s">
        <v>14</v>
      </c>
      <c r="G8" s="1" t="s">
        <v>15</v>
      </c>
      <c r="H8" s="12" t="s">
        <v>16</v>
      </c>
      <c r="J8" s="1">
        <f t="array" ref="J8">--ISNUMBER(IFERROR(SEARCH(Synthése!$E$3,D8,1),""))</f>
        <v>1</v>
      </c>
      <c r="K8" s="1">
        <f>IF(J8=1,COUNTIF($J$3:J8,1),"")</f>
        <v>6</v>
      </c>
      <c r="L8" s="1" t="str">
        <f t="array" ref="L8">IFERROR(INDEX($D$3:$D$300,MATCH(ROWS($K$3:K8),$K$3:$K$300,0)),"")</f>
        <v>AHARMOUCH  Mohammed Amine</v>
      </c>
    </row>
    <row r="9" spans="1:12" ht="16.5" thickTop="1" thickBot="1" x14ac:dyDescent="0.3">
      <c r="D9" s="16" t="s">
        <v>27</v>
      </c>
      <c r="E9" s="1" t="s">
        <v>28</v>
      </c>
      <c r="F9" s="1" t="s">
        <v>14</v>
      </c>
      <c r="G9" s="1" t="s">
        <v>15</v>
      </c>
      <c r="H9" s="11" t="s">
        <v>16</v>
      </c>
      <c r="J9" s="1">
        <f t="array" ref="J9">--ISNUMBER(IFERROR(SEARCH(Synthése!$E$3,D9,1),""))</f>
        <v>1</v>
      </c>
      <c r="K9" s="1">
        <f>IF(J9=1,COUNTIF($J$3:J9,1),"")</f>
        <v>7</v>
      </c>
      <c r="L9" s="1" t="str">
        <f t="array" ref="L9">IFERROR(INDEX($D$3:$D$300,MATCH(ROWS($K$3:K9),$K$3:$K$300,0)),"")</f>
        <v>ALAOUI BERTETTO  Oussama</v>
      </c>
    </row>
    <row r="10" spans="1:12" ht="16.5" thickTop="1" thickBot="1" x14ac:dyDescent="0.3">
      <c r="D10" s="16" t="s">
        <v>29</v>
      </c>
      <c r="E10" s="1" t="s">
        <v>30</v>
      </c>
      <c r="F10" s="1" t="s">
        <v>14</v>
      </c>
      <c r="G10" s="1" t="s">
        <v>15</v>
      </c>
      <c r="H10" s="12" t="s">
        <v>16</v>
      </c>
      <c r="J10" s="1">
        <f t="array" ref="J10">--ISNUMBER(IFERROR(SEARCH(Synthése!$E$3,D10,1),""))</f>
        <v>1</v>
      </c>
      <c r="K10" s="1">
        <f>IF(J10=1,COUNTIF($J$3:J10,1),"")</f>
        <v>8</v>
      </c>
      <c r="L10" s="1" t="str">
        <f>IFERROR(INDEX($D$3:$D$300,MATCH(ROWS($K$3:K10),$K$3:$K$300,0)),"")</f>
        <v>AL KHALES  Amina</v>
      </c>
    </row>
    <row r="11" spans="1:12" ht="16.5" thickTop="1" thickBot="1" x14ac:dyDescent="0.3">
      <c r="A11" s="23" t="s">
        <v>553</v>
      </c>
      <c r="D11" s="16" t="s">
        <v>31</v>
      </c>
      <c r="E11" s="1" t="s">
        <v>32</v>
      </c>
      <c r="F11" s="1" t="s">
        <v>14</v>
      </c>
      <c r="G11" s="1" t="s">
        <v>15</v>
      </c>
      <c r="H11" s="13" t="s">
        <v>16</v>
      </c>
      <c r="J11" s="1">
        <f t="array" ref="J11">--ISNUMBER(IFERROR(SEARCH(Synthése!$E$3,D11,1),""))</f>
        <v>1</v>
      </c>
      <c r="K11" s="1">
        <f>IF(J11=1,COUNTIF($J$3:J11,1),"")</f>
        <v>9</v>
      </c>
      <c r="L11" s="1" t="str">
        <f t="array" ref="L11">IFERROR(INDEX($D$3:$D$300,MATCH(ROWS($K$3:K11),$K$3:$K$300,0)),"")</f>
        <v>EL-ALAOUI  Hajar</v>
      </c>
    </row>
    <row r="12" spans="1:12" ht="16.5" thickTop="1" thickBot="1" x14ac:dyDescent="0.3">
      <c r="A12" s="24" t="s">
        <v>554</v>
      </c>
      <c r="D12" s="16" t="s">
        <v>33</v>
      </c>
      <c r="E12" s="1" t="s">
        <v>34</v>
      </c>
      <c r="F12" s="1" t="s">
        <v>35</v>
      </c>
      <c r="G12" s="1" t="s">
        <v>15</v>
      </c>
      <c r="H12" s="14" t="s">
        <v>16</v>
      </c>
      <c r="J12" s="1">
        <f t="array" ref="J12">--ISNUMBER(IFERROR(SEARCH(Synthése!$E$3,D12,1),""))</f>
        <v>1</v>
      </c>
      <c r="K12" s="1">
        <f>IF(J12=1,COUNTIF($J$3:J12,1),"")</f>
        <v>10</v>
      </c>
      <c r="L12" s="1" t="str">
        <f t="array" ref="L12">IFERROR(INDEX($D$3:$D$300,MATCH(ROWS($K$3:K12),$K$3:$K$300,0)),"")</f>
        <v>AIT OULAHSSAN  Rania</v>
      </c>
    </row>
    <row r="13" spans="1:12" ht="16.5" thickTop="1" thickBot="1" x14ac:dyDescent="0.3">
      <c r="A13" s="25" t="s">
        <v>555</v>
      </c>
      <c r="D13" s="16" t="s">
        <v>36</v>
      </c>
      <c r="E13" s="1" t="s">
        <v>37</v>
      </c>
      <c r="F13" s="1" t="s">
        <v>35</v>
      </c>
      <c r="G13" s="1" t="s">
        <v>15</v>
      </c>
      <c r="H13" s="13" t="s">
        <v>16</v>
      </c>
      <c r="J13" s="1">
        <f t="array" ref="J13">--ISNUMBER(IFERROR(SEARCH(Synthése!$E$3,D13,1),""))</f>
        <v>1</v>
      </c>
      <c r="K13" s="1">
        <f>IF(J13=1,COUNTIF($J$3:J13,1),"")</f>
        <v>11</v>
      </c>
      <c r="L13" s="1" t="str">
        <f t="array" ref="L13">IFERROR(INDEX($D$3:$D$300,MATCH(ROWS($K$3:K13),$K$3:$K$300,0)),"")</f>
        <v>LUKOBEKA  Sofia</v>
      </c>
    </row>
    <row r="14" spans="1:12" ht="16.5" thickTop="1" thickBot="1" x14ac:dyDescent="0.3">
      <c r="D14" s="16" t="s">
        <v>38</v>
      </c>
      <c r="E14" s="1" t="s">
        <v>39</v>
      </c>
      <c r="F14" s="1" t="s">
        <v>35</v>
      </c>
      <c r="G14" s="1" t="s">
        <v>15</v>
      </c>
      <c r="H14" s="14" t="s">
        <v>16</v>
      </c>
      <c r="J14" s="1">
        <f t="array" ref="J14">--ISNUMBER(IFERROR(SEARCH(Synthése!$E$3,D14,1),""))</f>
        <v>1</v>
      </c>
      <c r="K14" s="1">
        <f>IF(J14=1,COUNTIF($J$3:J14,1),"")</f>
        <v>12</v>
      </c>
      <c r="L14" s="1" t="str">
        <f t="array" ref="L14">IFERROR(INDEX($D$3:$D$300,MATCH(ROWS($K$3:K14),$K$3:$K$300,0)),"")</f>
        <v>LACHGAR  Rokia</v>
      </c>
    </row>
    <row r="15" spans="1:12" ht="16.5" thickTop="1" thickBot="1" x14ac:dyDescent="0.3">
      <c r="D15" s="16" t="s">
        <v>40</v>
      </c>
      <c r="E15" s="1" t="s">
        <v>41</v>
      </c>
      <c r="F15" s="1" t="s">
        <v>35</v>
      </c>
      <c r="G15" s="1" t="s">
        <v>15</v>
      </c>
      <c r="H15" s="13" t="s">
        <v>16</v>
      </c>
      <c r="J15" s="1">
        <f t="array" ref="J15">--ISNUMBER(IFERROR(SEARCH(Synthése!$E$3,D15,1),""))</f>
        <v>1</v>
      </c>
      <c r="K15" s="1">
        <f>IF(J15=1,COUNTIF($J$3:J15,1),"")</f>
        <v>13</v>
      </c>
      <c r="L15" s="1" t="str">
        <f t="array" ref="L15">IFERROR(INDEX($D$3:$D$300,MATCH(ROWS($K$3:K15),$K$3:$K$300,0)),"")</f>
        <v>TAOUBI  Omar</v>
      </c>
    </row>
    <row r="16" spans="1:12" ht="16.5" thickTop="1" thickBot="1" x14ac:dyDescent="0.3">
      <c r="D16" s="16" t="s">
        <v>42</v>
      </c>
      <c r="E16" s="1" t="s">
        <v>43</v>
      </c>
      <c r="F16" s="1" t="s">
        <v>35</v>
      </c>
      <c r="G16" s="1" t="s">
        <v>15</v>
      </c>
      <c r="H16" s="14" t="s">
        <v>16</v>
      </c>
      <c r="J16" s="1">
        <f t="array" ref="J16">--ISNUMBER(IFERROR(SEARCH(Synthése!$E$3,D16,1),""))</f>
        <v>1</v>
      </c>
      <c r="K16" s="1">
        <f>IF(J16=1,COUNTIF($J$3:J16,1),"")</f>
        <v>14</v>
      </c>
      <c r="L16" s="1" t="str">
        <f t="array" ref="L16">IFERROR(INDEX($D$3:$D$300,MATCH(ROWS($K$3:K16),$K$3:$K$300,0)),"")</f>
        <v>ABDOUNE  Omar</v>
      </c>
    </row>
    <row r="17" spans="4:12" ht="16.5" thickTop="1" thickBot="1" x14ac:dyDescent="0.3">
      <c r="D17" s="16" t="s">
        <v>44</v>
      </c>
      <c r="E17" s="1" t="s">
        <v>45</v>
      </c>
      <c r="F17" s="1" t="s">
        <v>35</v>
      </c>
      <c r="G17" s="1" t="s">
        <v>15</v>
      </c>
      <c r="H17" s="13" t="s">
        <v>16</v>
      </c>
      <c r="J17" s="1">
        <f t="array" ref="J17">--ISNUMBER(IFERROR(SEARCH(Synthése!$E$3,D17,1),""))</f>
        <v>1</v>
      </c>
      <c r="K17" s="1">
        <f>IF(J17=1,COUNTIF($J$3:J17,1),"")</f>
        <v>15</v>
      </c>
      <c r="L17" s="1" t="str">
        <f t="array" ref="L17">IFERROR(INDEX($D$3:$D$300,MATCH(ROWS($K$3:K17),$K$3:$K$300,0)),"")</f>
        <v>ESSALEH  Salma</v>
      </c>
    </row>
    <row r="18" spans="4:12" ht="16.5" thickTop="1" thickBot="1" x14ac:dyDescent="0.3">
      <c r="D18" s="16" t="s">
        <v>46</v>
      </c>
      <c r="E18" s="1" t="s">
        <v>47</v>
      </c>
      <c r="F18" s="1" t="s">
        <v>35</v>
      </c>
      <c r="G18" s="1" t="s">
        <v>15</v>
      </c>
      <c r="H18" s="14" t="s">
        <v>16</v>
      </c>
      <c r="J18" s="1">
        <f t="array" ref="J18">--ISNUMBER(IFERROR(SEARCH(Synthése!$E$3,D18,1),""))</f>
        <v>1</v>
      </c>
      <c r="K18" s="1">
        <f>IF(J18=1,COUNTIF($J$3:J18,1),"")</f>
        <v>16</v>
      </c>
      <c r="L18" s="1" t="str">
        <f t="array" ref="L18">IFERROR(INDEX($D$3:$D$300,MATCH(ROWS($K$3:K18),$K$3:$K$300,0)),"")</f>
        <v>MAHMOUDI  Abderrahim</v>
      </c>
    </row>
    <row r="19" spans="4:12" ht="16.5" thickTop="1" thickBot="1" x14ac:dyDescent="0.3">
      <c r="D19" s="16" t="s">
        <v>48</v>
      </c>
      <c r="E19" s="1" t="s">
        <v>49</v>
      </c>
      <c r="F19" s="1" t="s">
        <v>35</v>
      </c>
      <c r="G19" s="1" t="s">
        <v>15</v>
      </c>
      <c r="H19" s="13" t="s">
        <v>16</v>
      </c>
      <c r="J19" s="1">
        <f t="array" ref="J19">--ISNUMBER(IFERROR(SEARCH(Synthése!$E$3,D19,1),""))</f>
        <v>1</v>
      </c>
      <c r="K19" s="1">
        <f>IF(J19=1,COUNTIF($J$3:J19,1),"")</f>
        <v>17</v>
      </c>
      <c r="L19" s="1" t="str">
        <f t="array" ref="L19">IFERROR(INDEX($D$3:$D$300,MATCH(ROWS($K$3:K19),$K$3:$K$300,0)),"")</f>
        <v>ROUGGANI  Driss</v>
      </c>
    </row>
    <row r="20" spans="4:12" ht="16.5" thickTop="1" thickBot="1" x14ac:dyDescent="0.3">
      <c r="D20" s="16" t="s">
        <v>50</v>
      </c>
      <c r="E20" s="1" t="s">
        <v>51</v>
      </c>
      <c r="F20" s="1" t="s">
        <v>35</v>
      </c>
      <c r="G20" s="1" t="s">
        <v>15</v>
      </c>
      <c r="H20" s="14" t="s">
        <v>16</v>
      </c>
      <c r="J20" s="1">
        <f t="array" ref="J20">--ISNUMBER(IFERROR(SEARCH(Synthése!$E$3,D20,1),""))</f>
        <v>1</v>
      </c>
      <c r="K20" s="1">
        <f>IF(J20=1,COUNTIF($J$3:J20,1),"")</f>
        <v>18</v>
      </c>
      <c r="L20" s="1" t="str">
        <f t="array" ref="L20">IFERROR(INDEX($D$3:$D$300,MATCH(ROWS($K$3:K20),$K$3:$K$300,0)),"")</f>
        <v>EL HACHIMI YOUSSEF</v>
      </c>
    </row>
    <row r="21" spans="4:12" ht="16.5" thickTop="1" thickBot="1" x14ac:dyDescent="0.3">
      <c r="D21" s="16" t="s">
        <v>52</v>
      </c>
      <c r="E21" s="1" t="s">
        <v>53</v>
      </c>
      <c r="F21" s="1" t="s">
        <v>35</v>
      </c>
      <c r="G21" s="1" t="s">
        <v>15</v>
      </c>
      <c r="H21" s="1" t="s">
        <v>16</v>
      </c>
      <c r="J21" s="1">
        <f t="array" ref="J21">--ISNUMBER(IFERROR(SEARCH(Synthése!$E$3,D21,1),""))</f>
        <v>1</v>
      </c>
      <c r="K21" s="1">
        <f>IF(J21=1,COUNTIF($J$3:J21,1),"")</f>
        <v>19</v>
      </c>
      <c r="L21" s="1" t="str">
        <f t="array" ref="L21">IFERROR(INDEX($D$3:$D$300,MATCH(ROWS($K$3:K21),$K$3:$K$300,0)),"")</f>
        <v>EL BARAMOUSSI, Khadija</v>
      </c>
    </row>
    <row r="22" spans="4:12" ht="16.5" thickTop="1" thickBot="1" x14ac:dyDescent="0.3">
      <c r="D22" s="16" t="s">
        <v>54</v>
      </c>
      <c r="E22" s="1" t="s">
        <v>55</v>
      </c>
      <c r="F22" s="1" t="s">
        <v>1</v>
      </c>
      <c r="G22" s="1" t="s">
        <v>15</v>
      </c>
      <c r="H22" s="1" t="s">
        <v>16</v>
      </c>
      <c r="J22" s="1">
        <f t="array" ref="J22">--ISNUMBER(IFERROR(SEARCH(Synthése!$E$3,D22,1),""))</f>
        <v>1</v>
      </c>
      <c r="K22" s="1">
        <f>IF(J22=1,COUNTIF($J$3:J22,1),"")</f>
        <v>20</v>
      </c>
      <c r="L22" s="1" t="str">
        <f t="array" ref="L22">IFERROR(INDEX($D$3:$D$300,MATCH(ROWS($K$3:K22),$K$3:$K$300,0)),"")</f>
        <v>LASFAR  Amine</v>
      </c>
    </row>
    <row r="23" spans="4:12" ht="16.5" thickTop="1" thickBot="1" x14ac:dyDescent="0.3">
      <c r="D23" s="16" t="s">
        <v>56</v>
      </c>
      <c r="E23" s="1" t="s">
        <v>57</v>
      </c>
      <c r="F23" s="1" t="s">
        <v>1</v>
      </c>
      <c r="G23" s="1" t="s">
        <v>15</v>
      </c>
      <c r="H23" s="1" t="s">
        <v>16</v>
      </c>
      <c r="J23" s="1">
        <f t="array" ref="J23">--ISNUMBER(IFERROR(SEARCH(Synthése!$E$3,D23,1),""))</f>
        <v>1</v>
      </c>
      <c r="K23" s="1">
        <f>IF(J23=1,COUNTIF($J$3:J23,1),"")</f>
        <v>21</v>
      </c>
      <c r="L23" s="1" t="str">
        <f t="array" ref="L23">IFERROR(INDEX($D$3:$D$300,MATCH(ROWS($K$3:K23),$K$3:$K$300,0)),"")</f>
        <v>LEMOADANE  Karima</v>
      </c>
    </row>
    <row r="24" spans="4:12" ht="16.5" thickTop="1" thickBot="1" x14ac:dyDescent="0.3">
      <c r="D24" s="16" t="s">
        <v>58</v>
      </c>
      <c r="E24" s="1" t="s">
        <v>59</v>
      </c>
      <c r="F24" s="1" t="s">
        <v>1</v>
      </c>
      <c r="G24" s="1" t="s">
        <v>15</v>
      </c>
      <c r="H24" s="1" t="s">
        <v>16</v>
      </c>
      <c r="J24" s="1">
        <f t="array" ref="J24">--ISNUMBER(IFERROR(SEARCH(Synthése!$E$3,D24,1),""))</f>
        <v>1</v>
      </c>
      <c r="K24" s="1">
        <f>IF(J24=1,COUNTIF($J$3:J24,1),"")</f>
        <v>22</v>
      </c>
      <c r="L24" s="1" t="str">
        <f t="array" ref="L24">IFERROR(INDEX($D$3:$D$300,MATCH(ROWS($K$3:K24),$K$3:$K$300,0)),"")</f>
        <v>EL KTIRI  Nezha</v>
      </c>
    </row>
    <row r="25" spans="4:12" ht="16.5" thickTop="1" thickBot="1" x14ac:dyDescent="0.3">
      <c r="D25" s="16" t="s">
        <v>60</v>
      </c>
      <c r="E25" s="1" t="s">
        <v>61</v>
      </c>
      <c r="F25" s="1" t="s">
        <v>1</v>
      </c>
      <c r="G25" s="1" t="s">
        <v>15</v>
      </c>
      <c r="H25" s="1" t="s">
        <v>16</v>
      </c>
      <c r="J25" s="1">
        <f t="array" ref="J25">--ISNUMBER(IFERROR(SEARCH(Synthése!$E$3,D25,1),""))</f>
        <v>1</v>
      </c>
      <c r="K25" s="1">
        <f>IF(J25=1,COUNTIF($J$3:J25,1),"")</f>
        <v>23</v>
      </c>
      <c r="L25" s="1" t="str">
        <f t="array" ref="L25">IFERROR(INDEX($D$3:$D$300,MATCH(ROWS($K$3:K25),$K$3:$K$300,0)),"")</f>
        <v>CHOUGAN  Kawtar</v>
      </c>
    </row>
    <row r="26" spans="4:12" ht="16.5" thickTop="1" thickBot="1" x14ac:dyDescent="0.3">
      <c r="D26" s="16" t="s">
        <v>62</v>
      </c>
      <c r="E26" s="1" t="s">
        <v>63</v>
      </c>
      <c r="F26" s="1" t="s">
        <v>1</v>
      </c>
      <c r="G26" s="1" t="s">
        <v>15</v>
      </c>
      <c r="H26" s="1" t="s">
        <v>16</v>
      </c>
      <c r="J26" s="1">
        <f t="array" ref="J26">--ISNUMBER(IFERROR(SEARCH(Synthése!$E$3,D26,1),""))</f>
        <v>1</v>
      </c>
      <c r="K26" s="1">
        <f>IF(J26=1,COUNTIF($J$3:J26,1),"")</f>
        <v>24</v>
      </c>
      <c r="L26" s="1" t="str">
        <f t="array" ref="L26">IFERROR(INDEX($D$3:$D$300,MATCH(ROWS($K$3:K26),$K$3:$K$300,0)),"")</f>
        <v>TOUISSA  Younes</v>
      </c>
    </row>
    <row r="27" spans="4:12" ht="16.5" thickTop="1" thickBot="1" x14ac:dyDescent="0.3">
      <c r="D27" s="16" t="s">
        <v>64</v>
      </c>
      <c r="E27" s="1" t="s">
        <v>65</v>
      </c>
      <c r="F27" s="1" t="s">
        <v>1</v>
      </c>
      <c r="G27" s="1" t="s">
        <v>15</v>
      </c>
      <c r="H27" s="1" t="s">
        <v>16</v>
      </c>
      <c r="J27" s="1">
        <f t="array" ref="J27">--ISNUMBER(IFERROR(SEARCH(Synthése!$E$3,D27,1),""))</f>
        <v>1</v>
      </c>
      <c r="K27" s="1">
        <f>IF(J27=1,COUNTIF($J$3:J27,1),"")</f>
        <v>25</v>
      </c>
      <c r="L27" s="1" t="str">
        <f t="array" ref="L27">IFERROR(INDEX($D$3:$D$300,MATCH(ROWS($K$3:K27),$K$3:$K$300,0)),"")</f>
        <v>BENNAOUM  Kaltoum</v>
      </c>
    </row>
    <row r="28" spans="4:12" ht="16.5" thickTop="1" thickBot="1" x14ac:dyDescent="0.3">
      <c r="D28" s="16" t="s">
        <v>66</v>
      </c>
      <c r="E28" s="1" t="s">
        <v>67</v>
      </c>
      <c r="F28" s="1" t="s">
        <v>1</v>
      </c>
      <c r="G28" s="1" t="s">
        <v>15</v>
      </c>
      <c r="H28" s="1" t="s">
        <v>16</v>
      </c>
      <c r="J28" s="1">
        <f t="array" ref="J28">--ISNUMBER(IFERROR(SEARCH(Synthése!$E$3,D28,1),""))</f>
        <v>1</v>
      </c>
      <c r="K28" s="1">
        <f>IF(J28=1,COUNTIF($J$3:J28,1),"")</f>
        <v>26</v>
      </c>
      <c r="L28" s="1" t="str">
        <f t="array" ref="L28">IFERROR(INDEX($D$3:$D$300,MATCH(ROWS($K$3:K28),$K$3:$K$300,0)),"")</f>
        <v>CHICOULA  Oumaima</v>
      </c>
    </row>
    <row r="29" spans="4:12" ht="16.5" thickTop="1" thickBot="1" x14ac:dyDescent="0.3">
      <c r="D29" s="16" t="s">
        <v>68</v>
      </c>
      <c r="E29" s="1" t="s">
        <v>69</v>
      </c>
      <c r="F29" s="1" t="s">
        <v>1</v>
      </c>
      <c r="G29" s="1" t="s">
        <v>15</v>
      </c>
      <c r="H29" s="1" t="s">
        <v>16</v>
      </c>
      <c r="J29" s="1">
        <f t="array" ref="J29">--ISNUMBER(IFERROR(SEARCH(Synthése!$E$3,D29,1),""))</f>
        <v>1</v>
      </c>
      <c r="K29" s="1">
        <f>IF(J29=1,COUNTIF($J$3:J29,1),"")</f>
        <v>27</v>
      </c>
      <c r="L29" s="1" t="str">
        <f t="array" ref="L29">IFERROR(INDEX($D$3:$D$300,MATCH(ROWS($K$3:K29),$K$3:$K$300,0)),"")</f>
        <v>EL OUARDI  Ismail</v>
      </c>
    </row>
    <row r="30" spans="4:12" ht="16.5" thickTop="1" thickBot="1" x14ac:dyDescent="0.3">
      <c r="D30" s="16" t="s">
        <v>70</v>
      </c>
      <c r="E30" s="1" t="s">
        <v>71</v>
      </c>
      <c r="F30" s="1" t="s">
        <v>1</v>
      </c>
      <c r="G30" s="1" t="s">
        <v>15</v>
      </c>
      <c r="H30" s="1" t="s">
        <v>16</v>
      </c>
      <c r="J30" s="1">
        <f t="array" ref="J30">--ISNUMBER(IFERROR(SEARCH(Synthése!$E$3,D30,1),""))</f>
        <v>1</v>
      </c>
      <c r="K30" s="1">
        <f>IF(J30=1,COUNTIF($J$3:J30,1),"")</f>
        <v>28</v>
      </c>
      <c r="L30" s="1" t="str">
        <f t="array" ref="L30">IFERROR(INDEX($D$3:$D$300,MATCH(ROWS($K$3:K30),$K$3:$K$300,0)),"")</f>
        <v>BENCHEIKH  Farah</v>
      </c>
    </row>
    <row r="31" spans="4:12" ht="16.5" thickTop="1" thickBot="1" x14ac:dyDescent="0.3">
      <c r="D31" s="16" t="s">
        <v>72</v>
      </c>
      <c r="E31" s="1" t="s">
        <v>73</v>
      </c>
      <c r="F31" s="1" t="s">
        <v>1</v>
      </c>
      <c r="G31" s="1" t="s">
        <v>15</v>
      </c>
      <c r="H31" s="1" t="s">
        <v>16</v>
      </c>
      <c r="J31" s="1">
        <f t="array" ref="J31">--ISNUMBER(IFERROR(SEARCH(Synthése!$E$3,D31,1),""))</f>
        <v>1</v>
      </c>
      <c r="K31" s="1">
        <f>IF(J31=1,COUNTIF($J$3:J31,1),"")</f>
        <v>29</v>
      </c>
      <c r="L31" s="1" t="str">
        <f t="array" ref="L31">IFERROR(INDEX($D$3:$D$300,MATCH(ROWS($K$3:K31),$K$3:$K$300,0)),"")</f>
        <v>LAMTOUNI  Anas</v>
      </c>
    </row>
    <row r="32" spans="4:12" ht="16.5" thickTop="1" thickBot="1" x14ac:dyDescent="0.3">
      <c r="D32" s="16" t="s">
        <v>74</v>
      </c>
      <c r="E32" s="1" t="s">
        <v>75</v>
      </c>
      <c r="F32" s="1" t="s">
        <v>76</v>
      </c>
      <c r="G32" s="1" t="s">
        <v>15</v>
      </c>
      <c r="H32" s="1" t="s">
        <v>16</v>
      </c>
      <c r="J32" s="1">
        <f t="array" ref="J32">--ISNUMBER(IFERROR(SEARCH(Synthése!$E$3,D32,1),""))</f>
        <v>1</v>
      </c>
      <c r="K32" s="1">
        <f>IF(J32=1,COUNTIF($J$3:J32,1),"")</f>
        <v>30</v>
      </c>
      <c r="L32" s="1" t="str">
        <f t="array" ref="L32">IFERROR(INDEX($D$3:$D$300,MATCH(ROWS($K$3:K32),$K$3:$K$300,0)),"")</f>
        <v>FAEZ  Khalid</v>
      </c>
    </row>
    <row r="33" spans="4:12" ht="16.5" thickTop="1" thickBot="1" x14ac:dyDescent="0.3">
      <c r="D33" s="16" t="s">
        <v>77</v>
      </c>
      <c r="E33" s="1" t="s">
        <v>78</v>
      </c>
      <c r="F33" s="1" t="s">
        <v>76</v>
      </c>
      <c r="G33" s="1" t="s">
        <v>15</v>
      </c>
      <c r="H33" s="1" t="s">
        <v>16</v>
      </c>
      <c r="J33" s="1">
        <f t="array" ref="J33">--ISNUMBER(IFERROR(SEARCH(Synthése!$E$3,D33,1),""))</f>
        <v>1</v>
      </c>
      <c r="K33" s="1">
        <f>IF(J33=1,COUNTIF($J$3:J33,1),"")</f>
        <v>31</v>
      </c>
      <c r="L33" s="1" t="str">
        <f t="array" ref="L33">IFERROR(INDEX($D$3:$D$300,MATCH(ROWS($K$3:K33),$K$3:$K$300,0)),"")</f>
        <v>RAHMOUNI  Mohammed</v>
      </c>
    </row>
    <row r="34" spans="4:12" ht="16.5" thickTop="1" thickBot="1" x14ac:dyDescent="0.3">
      <c r="D34" s="16" t="s">
        <v>79</v>
      </c>
      <c r="E34" s="1" t="s">
        <v>80</v>
      </c>
      <c r="F34" s="1" t="s">
        <v>81</v>
      </c>
      <c r="G34" s="1" t="s">
        <v>15</v>
      </c>
      <c r="H34" s="1" t="s">
        <v>16</v>
      </c>
      <c r="J34" s="1">
        <f t="array" ref="J34">--ISNUMBER(IFERROR(SEARCH(Synthése!$E$3,D34,1),""))</f>
        <v>1</v>
      </c>
      <c r="K34" s="1">
        <f>IF(J34=1,COUNTIF($J$3:J34,1),"")</f>
        <v>32</v>
      </c>
      <c r="L34" s="1" t="str">
        <f t="array" ref="L34">IFERROR(INDEX($D$3:$D$300,MATCH(ROWS($K$3:K34),$K$3:$K$300,0)),"")</f>
        <v>EL RHANDOURI ESSMAILI  Taha</v>
      </c>
    </row>
    <row r="35" spans="4:12" ht="16.5" thickTop="1" thickBot="1" x14ac:dyDescent="0.3">
      <c r="D35" s="16" t="s">
        <v>82</v>
      </c>
      <c r="E35" s="1" t="s">
        <v>83</v>
      </c>
      <c r="F35" s="1" t="s">
        <v>81</v>
      </c>
      <c r="G35" s="1" t="s">
        <v>15</v>
      </c>
      <c r="H35" s="1" t="s">
        <v>16</v>
      </c>
      <c r="J35" s="1">
        <f t="array" ref="J35">--ISNUMBER(IFERROR(SEARCH(Synthése!$E$3,D35,1),""))</f>
        <v>1</v>
      </c>
      <c r="K35" s="1">
        <f>IF(J35=1,COUNTIF($J$3:J35,1),"")</f>
        <v>33</v>
      </c>
      <c r="L35" s="1" t="str">
        <f t="array" ref="L35">IFERROR(INDEX($D$3:$D$300,MATCH(ROWS($K$3:K35),$K$3:$K$300,0)),"")</f>
        <v>ELFECHTALI  Siham</v>
      </c>
    </row>
    <row r="36" spans="4:12" ht="16.5" thickTop="1" thickBot="1" x14ac:dyDescent="0.3">
      <c r="D36" s="16" t="s">
        <v>84</v>
      </c>
      <c r="E36" s="1" t="s">
        <v>85</v>
      </c>
      <c r="F36" s="1" t="s">
        <v>81</v>
      </c>
      <c r="G36" s="1" t="s">
        <v>15</v>
      </c>
      <c r="H36" s="1" t="s">
        <v>16</v>
      </c>
      <c r="J36" s="1">
        <f t="array" ref="J36">--ISNUMBER(IFERROR(SEARCH(Synthése!$E$3,D36,1),""))</f>
        <v>1</v>
      </c>
      <c r="K36" s="1">
        <f>IF(J36=1,COUNTIF($J$3:J36,1),"")</f>
        <v>34</v>
      </c>
      <c r="L36" s="1" t="str">
        <f t="array" ref="L36">IFERROR(INDEX($D$3:$D$300,MATCH(ROWS($K$3:K36),$K$3:$K$300,0)),"")</f>
        <v>HEIZOUNE  Selma</v>
      </c>
    </row>
    <row r="37" spans="4:12" ht="16.5" thickTop="1" thickBot="1" x14ac:dyDescent="0.3">
      <c r="D37" s="16" t="s">
        <v>86</v>
      </c>
      <c r="E37" s="1" t="s">
        <v>87</v>
      </c>
      <c r="F37" s="1" t="s">
        <v>2</v>
      </c>
      <c r="G37" s="1" t="s">
        <v>15</v>
      </c>
      <c r="H37" s="1" t="s">
        <v>16</v>
      </c>
      <c r="J37" s="1">
        <f t="array" ref="J37">--ISNUMBER(IFERROR(SEARCH(Synthése!$E$3,D37,1),""))</f>
        <v>1</v>
      </c>
      <c r="K37" s="1">
        <f>IF(J37=1,COUNTIF($J$3:J37,1),"")</f>
        <v>35</v>
      </c>
      <c r="L37" s="1" t="str">
        <f t="array" ref="L37">IFERROR(INDEX($D$3:$D$300,MATCH(ROWS($K$3:K37),$K$3:$K$300,0)),"")</f>
        <v>EL KAMARI  Lamiae</v>
      </c>
    </row>
    <row r="38" spans="4:12" ht="16.5" thickTop="1" thickBot="1" x14ac:dyDescent="0.3">
      <c r="D38" s="16" t="s">
        <v>88</v>
      </c>
      <c r="E38" s="1" t="s">
        <v>89</v>
      </c>
      <c r="F38" s="1" t="s">
        <v>2</v>
      </c>
      <c r="G38" s="1" t="s">
        <v>15</v>
      </c>
      <c r="H38" s="1" t="s">
        <v>16</v>
      </c>
      <c r="J38" s="1">
        <f t="array" ref="J38">--ISNUMBER(IFERROR(SEARCH(Synthése!$E$3,D38,1),""))</f>
        <v>1</v>
      </c>
      <c r="K38" s="1">
        <f>IF(J38=1,COUNTIF($J$3:J38,1),"")</f>
        <v>36</v>
      </c>
      <c r="L38" s="1" t="str">
        <f t="array" ref="L38">IFERROR(INDEX($D$3:$D$300,MATCH(ROWS($K$3:K38),$K$3:$K$300,0)),"")</f>
        <v>BERRADA  NADIA</v>
      </c>
    </row>
    <row r="39" spans="4:12" ht="16.5" thickTop="1" thickBot="1" x14ac:dyDescent="0.3">
      <c r="D39" s="16" t="s">
        <v>90</v>
      </c>
      <c r="E39" s="1" t="s">
        <v>91</v>
      </c>
      <c r="F39" s="1" t="s">
        <v>2</v>
      </c>
      <c r="G39" s="1" t="s">
        <v>15</v>
      </c>
      <c r="H39" s="1" t="s">
        <v>16</v>
      </c>
      <c r="J39" s="1">
        <f t="array" ref="J39">--ISNUMBER(IFERROR(SEARCH(Synthése!$E$3,D39,1),""))</f>
        <v>1</v>
      </c>
      <c r="K39" s="1">
        <f>IF(J39=1,COUNTIF($J$3:J39,1),"")</f>
        <v>37</v>
      </c>
      <c r="L39" s="1" t="str">
        <f t="array" ref="L39">IFERROR(INDEX($D$3:$D$300,MATCH(ROWS($K$3:K39),$K$3:$K$300,0)),"")</f>
        <v>SEMAOUI  Ghizlane</v>
      </c>
    </row>
    <row r="40" spans="4:12" ht="16.5" thickTop="1" thickBot="1" x14ac:dyDescent="0.3">
      <c r="D40" s="16" t="s">
        <v>92</v>
      </c>
      <c r="E40" s="1" t="s">
        <v>93</v>
      </c>
      <c r="F40" s="1" t="s">
        <v>2</v>
      </c>
      <c r="G40" s="1" t="s">
        <v>15</v>
      </c>
      <c r="H40" s="1" t="s">
        <v>16</v>
      </c>
      <c r="J40" s="1">
        <f t="array" ref="J40">--ISNUMBER(IFERROR(SEARCH(Synthése!$E$3,D40,1),""))</f>
        <v>1</v>
      </c>
      <c r="K40" s="1">
        <f>IF(J40=1,COUNTIF($J$3:J40,1),"")</f>
        <v>38</v>
      </c>
      <c r="L40" s="1" t="str">
        <f t="array" ref="L40">IFERROR(INDEX($D$3:$D$300,MATCH(ROWS($K$3:K40),$K$3:$K$300,0)),"")</f>
        <v>ELJAI  Samira</v>
      </c>
    </row>
    <row r="41" spans="4:12" ht="16.5" thickTop="1" thickBot="1" x14ac:dyDescent="0.3">
      <c r="D41" s="16" t="s">
        <v>94</v>
      </c>
      <c r="E41" s="1" t="s">
        <v>95</v>
      </c>
      <c r="F41" s="1" t="s">
        <v>2</v>
      </c>
      <c r="G41" s="1" t="s">
        <v>15</v>
      </c>
      <c r="H41" s="1" t="s">
        <v>16</v>
      </c>
      <c r="J41" s="1">
        <f t="array" ref="J41">--ISNUMBER(IFERROR(SEARCH(Synthése!$E$3,D41,1),""))</f>
        <v>1</v>
      </c>
      <c r="K41" s="1">
        <f>IF(J41=1,COUNTIF($J$3:J41,1),"")</f>
        <v>39</v>
      </c>
      <c r="L41" s="1" t="str">
        <f t="array" ref="L41">IFERROR(INDEX($D$3:$D$300,MATCH(ROWS($K$3:K41),$K$3:$K$300,0)),"")</f>
        <v>BALADI  Badreddine</v>
      </c>
    </row>
    <row r="42" spans="4:12" ht="16.5" thickTop="1" thickBot="1" x14ac:dyDescent="0.3">
      <c r="D42" s="16" t="s">
        <v>96</v>
      </c>
      <c r="E42" s="1" t="s">
        <v>97</v>
      </c>
      <c r="F42" s="1" t="s">
        <v>2</v>
      </c>
      <c r="G42" s="1" t="s">
        <v>15</v>
      </c>
      <c r="H42" s="1" t="s">
        <v>16</v>
      </c>
      <c r="J42" s="1">
        <f t="array" ref="J42">--ISNUMBER(IFERROR(SEARCH(Synthése!$E$3,D42,1),""))</f>
        <v>1</v>
      </c>
      <c r="K42" s="1">
        <f>IF(J42=1,COUNTIF($J$3:J42,1),"")</f>
        <v>40</v>
      </c>
      <c r="L42" s="1" t="str">
        <f t="array" ref="L42">IFERROR(INDEX($D$3:$D$300,MATCH(ROWS($K$3:K42),$K$3:$K$300,0)),"")</f>
        <v>AJANA  RANIA</v>
      </c>
    </row>
    <row r="43" spans="4:12" ht="16.5" thickTop="1" thickBot="1" x14ac:dyDescent="0.3">
      <c r="D43" s="16" t="s">
        <v>98</v>
      </c>
      <c r="E43" s="1" t="s">
        <v>99</v>
      </c>
      <c r="F43" s="1" t="s">
        <v>2</v>
      </c>
      <c r="G43" s="1" t="s">
        <v>15</v>
      </c>
      <c r="H43" s="1" t="s">
        <v>16</v>
      </c>
      <c r="J43" s="1">
        <f t="array" ref="J43">--ISNUMBER(IFERROR(SEARCH(Synthése!$E$3,D43,1),""))</f>
        <v>1</v>
      </c>
      <c r="K43" s="1">
        <f>IF(J43=1,COUNTIF($J$3:J43,1),"")</f>
        <v>41</v>
      </c>
      <c r="L43" s="1" t="str">
        <f t="array" ref="L43">IFERROR(INDEX($D$3:$D$300,MATCH(ROWS($K$3:K43),$K$3:$K$300,0)),"")</f>
        <v>BENMAKHLOUF  JIHAN</v>
      </c>
    </row>
    <row r="44" spans="4:12" ht="16.5" thickTop="1" thickBot="1" x14ac:dyDescent="0.3">
      <c r="D44" s="16" t="s">
        <v>100</v>
      </c>
      <c r="E44" s="1" t="s">
        <v>101</v>
      </c>
      <c r="F44" s="1" t="s">
        <v>2</v>
      </c>
      <c r="G44" s="1" t="s">
        <v>15</v>
      </c>
      <c r="H44" s="1" t="s">
        <v>16</v>
      </c>
      <c r="J44" s="1">
        <f t="array" ref="J44">--ISNUMBER(IFERROR(SEARCH(Synthése!$E$3,D44,1),""))</f>
        <v>1</v>
      </c>
      <c r="K44" s="1">
        <f>IF(J44=1,COUNTIF($J$3:J44,1),"")</f>
        <v>42</v>
      </c>
      <c r="L44" s="1" t="str">
        <f t="array" ref="L44">IFERROR(INDEX($D$3:$D$300,MATCH(ROWS($K$3:K44),$K$3:$K$300,0)),"")</f>
        <v>BENBOUJEMAA  Mohamed Amine</v>
      </c>
    </row>
    <row r="45" spans="4:12" ht="16.5" thickTop="1" thickBot="1" x14ac:dyDescent="0.3">
      <c r="D45" s="16" t="s">
        <v>102</v>
      </c>
      <c r="E45" s="1" t="s">
        <v>103</v>
      </c>
      <c r="F45" s="1" t="s">
        <v>2</v>
      </c>
      <c r="G45" s="1" t="s">
        <v>15</v>
      </c>
      <c r="H45" s="1" t="s">
        <v>16</v>
      </c>
      <c r="J45" s="1">
        <f t="array" ref="J45">--ISNUMBER(IFERROR(SEARCH(Synthése!$E$3,D45,1),""))</f>
        <v>1</v>
      </c>
      <c r="K45" s="1">
        <f>IF(J45=1,COUNTIF($J$3:J45,1),"")</f>
        <v>43</v>
      </c>
      <c r="L45" s="1" t="str">
        <f t="array" ref="L45">IFERROR(INDEX($D$3:$D$300,MATCH(ROWS($K$3:K45),$K$3:$K$300,0)),"")</f>
        <v>KADIRI  Mohamed Adam</v>
      </c>
    </row>
    <row r="46" spans="4:12" ht="16.5" thickTop="1" thickBot="1" x14ac:dyDescent="0.3">
      <c r="D46" s="16" t="s">
        <v>104</v>
      </c>
      <c r="E46" s="1" t="s">
        <v>105</v>
      </c>
      <c r="F46" s="1" t="s">
        <v>2</v>
      </c>
      <c r="G46" s="1" t="s">
        <v>15</v>
      </c>
      <c r="H46" s="1" t="s">
        <v>16</v>
      </c>
      <c r="J46" s="1">
        <f t="array" ref="J46">--ISNUMBER(IFERROR(SEARCH(Synthése!$E$3,D46,1),""))</f>
        <v>1</v>
      </c>
      <c r="K46" s="1">
        <f>IF(J46=1,COUNTIF($J$3:J46,1),"")</f>
        <v>44</v>
      </c>
      <c r="L46" s="1" t="str">
        <f t="array" ref="L46">IFERROR(INDEX($D$3:$D$300,MATCH(ROWS($K$3:K46),$K$3:$K$300,0)),"")</f>
        <v>KHARRAZ  Tissir</v>
      </c>
    </row>
    <row r="47" spans="4:12" ht="16.5" thickTop="1" thickBot="1" x14ac:dyDescent="0.3">
      <c r="D47" s="16" t="s">
        <v>106</v>
      </c>
      <c r="E47" s="1" t="s">
        <v>107</v>
      </c>
      <c r="F47" s="1" t="s">
        <v>81</v>
      </c>
      <c r="G47" s="1" t="s">
        <v>15</v>
      </c>
      <c r="H47" s="1" t="s">
        <v>16</v>
      </c>
      <c r="J47" s="1">
        <f t="array" ref="J47">--ISNUMBER(IFERROR(SEARCH(Synthése!$E$3,D47,1),""))</f>
        <v>1</v>
      </c>
      <c r="K47" s="1">
        <f>IF(J47=1,COUNTIF($J$3:J47,1),"")</f>
        <v>45</v>
      </c>
      <c r="L47" s="1" t="str">
        <f t="array" ref="L47">IFERROR(INDEX($D$3:$D$300,MATCH(ROWS($K$3:K47),$K$3:$K$300,0)),"")</f>
        <v>JENBIL  Rajae</v>
      </c>
    </row>
    <row r="48" spans="4:12" ht="16.5" thickTop="1" thickBot="1" x14ac:dyDescent="0.3">
      <c r="D48" s="16" t="s">
        <v>108</v>
      </c>
      <c r="E48" s="1" t="s">
        <v>109</v>
      </c>
      <c r="F48" s="1" t="s">
        <v>81</v>
      </c>
      <c r="G48" s="1" t="s">
        <v>15</v>
      </c>
      <c r="H48" s="1" t="s">
        <v>16</v>
      </c>
      <c r="J48" s="1">
        <f t="array" ref="J48">--ISNUMBER(IFERROR(SEARCH(Synthése!$E$3,D48,1),""))</f>
        <v>1</v>
      </c>
      <c r="K48" s="1">
        <f>IF(J48=1,COUNTIF($J$3:J48,1),"")</f>
        <v>46</v>
      </c>
      <c r="L48" s="1" t="str">
        <f t="array" ref="L48">IFERROR(INDEX($D$3:$D$300,MATCH(ROWS($K$3:K48),$K$3:$K$300,0)),"")</f>
        <v>CHORAFI  YASSIR</v>
      </c>
    </row>
    <row r="49" spans="4:12" ht="16.5" thickTop="1" thickBot="1" x14ac:dyDescent="0.3">
      <c r="D49" s="16" t="s">
        <v>110</v>
      </c>
      <c r="E49" s="1" t="s">
        <v>111</v>
      </c>
      <c r="F49" s="1" t="s">
        <v>81</v>
      </c>
      <c r="G49" s="1" t="s">
        <v>15</v>
      </c>
      <c r="H49" s="1" t="s">
        <v>16</v>
      </c>
      <c r="J49" s="1">
        <f t="array" ref="J49">--ISNUMBER(IFERROR(SEARCH(Synthése!$E$3,D49,1),""))</f>
        <v>1</v>
      </c>
      <c r="K49" s="1">
        <f>IF(J49=1,COUNTIF($J$3:J49,1),"")</f>
        <v>47</v>
      </c>
      <c r="L49" s="1" t="str">
        <f t="array" ref="L49">IFERROR(INDEX($D$3:$D$300,MATCH(ROWS($K$3:K49),$K$3:$K$300,0)),"")</f>
        <v>MGAME  Fatima Ezzahra</v>
      </c>
    </row>
    <row r="50" spans="4:12" ht="16.5" thickTop="1" thickBot="1" x14ac:dyDescent="0.3">
      <c r="D50" s="16" t="s">
        <v>112</v>
      </c>
      <c r="E50" s="1" t="s">
        <v>113</v>
      </c>
      <c r="F50" s="1" t="s">
        <v>81</v>
      </c>
      <c r="G50" s="1" t="s">
        <v>15</v>
      </c>
      <c r="H50" s="1" t="s">
        <v>16</v>
      </c>
      <c r="J50" s="1">
        <f t="array" ref="J50">--ISNUMBER(IFERROR(SEARCH(Synthése!$E$3,D50,1),""))</f>
        <v>1</v>
      </c>
      <c r="K50" s="1">
        <f>IF(J50=1,COUNTIF($J$3:J50,1),"")</f>
        <v>48</v>
      </c>
      <c r="L50" s="1" t="str">
        <f t="array" ref="L50">IFERROR(INDEX($D$3:$D$300,MATCH(ROWS($K$3:K50),$K$3:$K$300,0)),"")</f>
        <v>EL MAKHZOUMI  Yousra</v>
      </c>
    </row>
    <row r="51" spans="4:12" ht="16.5" thickTop="1" thickBot="1" x14ac:dyDescent="0.3">
      <c r="D51" s="16" t="s">
        <v>114</v>
      </c>
      <c r="E51" s="1" t="s">
        <v>115</v>
      </c>
      <c r="F51" s="1" t="s">
        <v>81</v>
      </c>
      <c r="G51" s="1" t="s">
        <v>15</v>
      </c>
      <c r="H51" s="1" t="s">
        <v>16</v>
      </c>
      <c r="J51" s="1">
        <f t="array" ref="J51">--ISNUMBER(IFERROR(SEARCH(Synthése!$E$3,D51,1),""))</f>
        <v>1</v>
      </c>
      <c r="K51" s="1">
        <f>IF(J51=1,COUNTIF($J$3:J51,1),"")</f>
        <v>49</v>
      </c>
      <c r="L51" s="1" t="str">
        <f t="array" ref="L51">IFERROR(INDEX($D$3:$D$300,MATCH(ROWS($K$3:K51),$K$3:$K$300,0)),"")</f>
        <v>NAHAL  QODS</v>
      </c>
    </row>
    <row r="52" spans="4:12" ht="16.5" thickTop="1" thickBot="1" x14ac:dyDescent="0.3">
      <c r="D52" s="16" t="s">
        <v>116</v>
      </c>
      <c r="E52" s="1" t="s">
        <v>117</v>
      </c>
      <c r="F52" s="1" t="s">
        <v>118</v>
      </c>
      <c r="G52" s="1" t="s">
        <v>15</v>
      </c>
      <c r="H52" s="1" t="s">
        <v>16</v>
      </c>
      <c r="J52" s="1">
        <f t="array" ref="J52">--ISNUMBER(IFERROR(SEARCH(Synthése!$E$3,D52,1),""))</f>
        <v>1</v>
      </c>
      <c r="K52" s="1">
        <f>IF(J52=1,COUNTIF($J$3:J52,1),"")</f>
        <v>50</v>
      </c>
      <c r="L52" s="1" t="str">
        <f t="array" ref="L52">IFERROR(INDEX($D$3:$D$300,MATCH(ROWS($K$3:K52),$K$3:$K$300,0)),"")</f>
        <v>AMGHAR  Laila</v>
      </c>
    </row>
    <row r="53" spans="4:12" ht="16.5" thickTop="1" thickBot="1" x14ac:dyDescent="0.3">
      <c r="D53" s="16" t="s">
        <v>119</v>
      </c>
      <c r="E53" s="1" t="s">
        <v>120</v>
      </c>
      <c r="F53" s="1" t="s">
        <v>118</v>
      </c>
      <c r="G53" s="1" t="s">
        <v>15</v>
      </c>
      <c r="H53" s="1" t="s">
        <v>16</v>
      </c>
      <c r="J53" s="1">
        <f t="array" ref="J53">--ISNUMBER(IFERROR(SEARCH(Synthése!$E$3,D53,1),""))</f>
        <v>1</v>
      </c>
      <c r="K53" s="1">
        <f>IF(J53=1,COUNTIF($J$3:J53,1),"")</f>
        <v>51</v>
      </c>
      <c r="L53" s="1" t="str">
        <f t="array" ref="L53">IFERROR(INDEX($D$3:$D$300,MATCH(ROWS($K$3:K53),$K$3:$K$300,0)),"")</f>
        <v>CHENTOUFI  Hanane</v>
      </c>
    </row>
    <row r="54" spans="4:12" ht="16.5" thickTop="1" thickBot="1" x14ac:dyDescent="0.3">
      <c r="D54" s="16" t="s">
        <v>121</v>
      </c>
      <c r="E54" s="1" t="s">
        <v>122</v>
      </c>
      <c r="F54" s="1" t="s">
        <v>118</v>
      </c>
      <c r="G54" s="1" t="s">
        <v>15</v>
      </c>
      <c r="H54" s="1" t="s">
        <v>16</v>
      </c>
      <c r="J54" s="1">
        <f t="array" ref="J54">--ISNUMBER(IFERROR(SEARCH(Synthése!$E$3,D54,1),""))</f>
        <v>1</v>
      </c>
      <c r="K54" s="1">
        <f>IF(J54=1,COUNTIF($J$3:J54,1),"")</f>
        <v>52</v>
      </c>
      <c r="L54" s="1" t="str">
        <f t="array" ref="L54">IFERROR(INDEX($D$3:$D$300,MATCH(ROWS($K$3:K54),$K$3:$K$300,0)),"")</f>
        <v>OUNOUNA  Naima</v>
      </c>
    </row>
    <row r="55" spans="4:12" ht="16.5" thickTop="1" thickBot="1" x14ac:dyDescent="0.3">
      <c r="D55" s="16" t="s">
        <v>123</v>
      </c>
      <c r="E55" s="1" t="s">
        <v>124</v>
      </c>
      <c r="F55" s="1" t="s">
        <v>118</v>
      </c>
      <c r="G55" s="1" t="s">
        <v>15</v>
      </c>
      <c r="H55" s="1" t="s">
        <v>16</v>
      </c>
      <c r="J55" s="1">
        <f t="array" ref="J55">--ISNUMBER(IFERROR(SEARCH(Synthése!$E$3,D55,1),""))</f>
        <v>1</v>
      </c>
      <c r="K55" s="1">
        <f>IF(J55=1,COUNTIF($J$3:J55,1),"")</f>
        <v>53</v>
      </c>
      <c r="L55" s="1" t="str">
        <f t="array" ref="L55">IFERROR(INDEX($D$3:$D$300,MATCH(ROWS($K$3:K55),$K$3:$K$300,0)),"")</f>
        <v>JROUNDI  Kenza</v>
      </c>
    </row>
    <row r="56" spans="4:12" ht="16.5" thickTop="1" thickBot="1" x14ac:dyDescent="0.3">
      <c r="D56" s="16" t="s">
        <v>125</v>
      </c>
      <c r="E56" s="1" t="s">
        <v>126</v>
      </c>
      <c r="F56" s="1" t="s">
        <v>118</v>
      </c>
      <c r="G56" s="1" t="s">
        <v>15</v>
      </c>
      <c r="H56" s="1" t="s">
        <v>16</v>
      </c>
      <c r="J56" s="1">
        <f t="array" ref="J56">--ISNUMBER(IFERROR(SEARCH(Synthése!$E$3,D56,1),""))</f>
        <v>1</v>
      </c>
      <c r="K56" s="1">
        <f>IF(J56=1,COUNTIF($J$3:J56,1),"")</f>
        <v>54</v>
      </c>
      <c r="L56" s="1" t="str">
        <f t="array" ref="L56">IFERROR(INDEX($D$3:$D$300,MATCH(ROWS($K$3:K56),$K$3:$K$300,0)),"")</f>
        <v>BENBOUZID  Dounia</v>
      </c>
    </row>
    <row r="57" spans="4:12" ht="16.5" thickTop="1" thickBot="1" x14ac:dyDescent="0.3">
      <c r="D57" s="16" t="s">
        <v>127</v>
      </c>
      <c r="E57" s="1" t="s">
        <v>128</v>
      </c>
      <c r="F57" s="1" t="s">
        <v>118</v>
      </c>
      <c r="G57" s="1" t="s">
        <v>15</v>
      </c>
      <c r="H57" s="1" t="s">
        <v>16</v>
      </c>
      <c r="J57" s="1">
        <f t="array" ref="J57">--ISNUMBER(IFERROR(SEARCH(Synthése!$E$3,D57,1),""))</f>
        <v>1</v>
      </c>
      <c r="K57" s="1">
        <f>IF(J57=1,COUNTIF($J$3:J57,1),"")</f>
        <v>55</v>
      </c>
      <c r="L57" s="1" t="str">
        <f t="array" ref="L57">IFERROR(INDEX($D$3:$D$300,MATCH(ROWS($K$3:K57),$K$3:$K$300,0)),"")</f>
        <v>EL GHNIMI   El Hassan</v>
      </c>
    </row>
    <row r="58" spans="4:12" ht="16.5" thickTop="1" thickBot="1" x14ac:dyDescent="0.3">
      <c r="D58" s="16" t="s">
        <v>129</v>
      </c>
      <c r="E58" s="1" t="s">
        <v>130</v>
      </c>
      <c r="F58" s="1" t="s">
        <v>118</v>
      </c>
      <c r="G58" s="1" t="s">
        <v>15</v>
      </c>
      <c r="H58" s="1" t="s">
        <v>16</v>
      </c>
      <c r="J58" s="1">
        <f t="array" ref="J58">--ISNUMBER(IFERROR(SEARCH(Synthése!$E$3,D58,1),""))</f>
        <v>1</v>
      </c>
      <c r="K58" s="1">
        <f>IF(J58=1,COUNTIF($J$3:J58,1),"")</f>
        <v>56</v>
      </c>
      <c r="L58" s="1" t="str">
        <f t="array" ref="L58">IFERROR(INDEX($D$3:$D$300,MATCH(ROWS($K$3:K58),$K$3:$K$300,0)),"")</f>
        <v>TARFASSI  HIND</v>
      </c>
    </row>
    <row r="59" spans="4:12" ht="16.5" thickTop="1" thickBot="1" x14ac:dyDescent="0.3">
      <c r="D59" s="16" t="s">
        <v>131</v>
      </c>
      <c r="E59" s="1" t="s">
        <v>132</v>
      </c>
      <c r="F59" s="1" t="s">
        <v>118</v>
      </c>
      <c r="G59" s="1" t="s">
        <v>15</v>
      </c>
      <c r="H59" s="1" t="s">
        <v>16</v>
      </c>
      <c r="J59" s="1">
        <f t="array" ref="J59">--ISNUMBER(IFERROR(SEARCH(Synthése!$E$3,D59,1),""))</f>
        <v>1</v>
      </c>
      <c r="K59" s="1">
        <f>IF(J59=1,COUNTIF($J$3:J59,1),"")</f>
        <v>57</v>
      </c>
      <c r="L59" s="1" t="str">
        <f t="array" ref="L59">IFERROR(INDEX($D$3:$D$300,MATCH(ROWS($K$3:K59),$K$3:$K$300,0)),"")</f>
        <v>BOUKOUR  Mohammed</v>
      </c>
    </row>
    <row r="60" spans="4:12" ht="16.5" thickTop="1" thickBot="1" x14ac:dyDescent="0.3">
      <c r="D60" s="16" t="s">
        <v>133</v>
      </c>
      <c r="E60" s="1" t="s">
        <v>134</v>
      </c>
      <c r="F60" s="1" t="s">
        <v>118</v>
      </c>
      <c r="G60" s="1" t="s">
        <v>15</v>
      </c>
      <c r="H60" s="1" t="s">
        <v>16</v>
      </c>
      <c r="J60" s="1">
        <f t="array" ref="J60">--ISNUMBER(IFERROR(SEARCH(Synthése!$E$3,D60,1),""))</f>
        <v>1</v>
      </c>
      <c r="K60" s="1">
        <f>IF(J60=1,COUNTIF($J$3:J60,1),"")</f>
        <v>58</v>
      </c>
      <c r="L60" s="1" t="str">
        <f t="array" ref="L60">IFERROR(INDEX($D$3:$D$300,MATCH(ROWS($K$3:K60),$K$3:$K$300,0)),"")</f>
        <v>RACHIDI  Samia</v>
      </c>
    </row>
    <row r="61" spans="4:12" ht="16.5" thickTop="1" thickBot="1" x14ac:dyDescent="0.3">
      <c r="D61" s="16" t="s">
        <v>135</v>
      </c>
      <c r="E61" s="1" t="s">
        <v>136</v>
      </c>
      <c r="F61" s="1" t="s">
        <v>118</v>
      </c>
      <c r="G61" s="1" t="s">
        <v>15</v>
      </c>
      <c r="H61" s="1" t="s">
        <v>16</v>
      </c>
      <c r="J61" s="1">
        <f t="array" ref="J61">--ISNUMBER(IFERROR(SEARCH(Synthése!$E$3,D61,1),""))</f>
        <v>1</v>
      </c>
      <c r="K61" s="1">
        <f>IF(J61=1,COUNTIF($J$3:J61,1),"")</f>
        <v>59</v>
      </c>
      <c r="L61" s="1" t="str">
        <f t="array" ref="L61">IFERROR(INDEX($D$3:$D$300,MATCH(ROWS($K$3:K61),$K$3:$K$300,0)),"")</f>
        <v>LHIMEUR  Mehdi</v>
      </c>
    </row>
    <row r="62" spans="4:12" ht="16.5" thickTop="1" thickBot="1" x14ac:dyDescent="0.3">
      <c r="D62" s="16" t="s">
        <v>137</v>
      </c>
      <c r="E62" s="1" t="s">
        <v>138</v>
      </c>
      <c r="F62" s="1" t="s">
        <v>81</v>
      </c>
      <c r="G62" s="1" t="s">
        <v>15</v>
      </c>
      <c r="H62" s="1" t="s">
        <v>16</v>
      </c>
      <c r="J62" s="1">
        <f t="array" ref="J62">--ISNUMBER(IFERROR(SEARCH(Synthése!$E$3,D62,1),""))</f>
        <v>1</v>
      </c>
      <c r="K62" s="1">
        <f>IF(J62=1,COUNTIF($J$3:J62,1),"")</f>
        <v>60</v>
      </c>
      <c r="L62" s="1" t="str">
        <f t="array" ref="L62">IFERROR(INDEX($D$3:$D$300,MATCH(ROWS($K$3:K62),$K$3:$K$300,0)),"")</f>
        <v>SAADAOUI  Imane</v>
      </c>
    </row>
    <row r="63" spans="4:12" ht="16.5" thickTop="1" thickBot="1" x14ac:dyDescent="0.3">
      <c r="D63" s="16" t="s">
        <v>139</v>
      </c>
      <c r="E63" s="1" t="s">
        <v>140</v>
      </c>
      <c r="F63" s="1" t="s">
        <v>81</v>
      </c>
      <c r="G63" s="1" t="s">
        <v>15</v>
      </c>
      <c r="H63" s="1" t="s">
        <v>16</v>
      </c>
      <c r="J63" s="1">
        <f t="array" ref="J63">--ISNUMBER(IFERROR(SEARCH(Synthése!$E$3,D63,1),""))</f>
        <v>1</v>
      </c>
      <c r="K63" s="1">
        <f>IF(J63=1,COUNTIF($J$3:J63,1),"")</f>
        <v>61</v>
      </c>
      <c r="L63" s="1" t="str">
        <f t="array" ref="L63">IFERROR(INDEX($D$3:$D$300,MATCH(ROWS($K$3:K63),$K$3:$K$300,0)),"")</f>
        <v>AABANE   KARIMA</v>
      </c>
    </row>
    <row r="64" spans="4:12" ht="16.5" thickTop="1" thickBot="1" x14ac:dyDescent="0.3">
      <c r="D64" s="16" t="s">
        <v>141</v>
      </c>
      <c r="E64" s="1" t="s">
        <v>142</v>
      </c>
      <c r="F64" s="1" t="s">
        <v>143</v>
      </c>
      <c r="G64" s="1" t="s">
        <v>144</v>
      </c>
      <c r="H64" s="1" t="s">
        <v>5</v>
      </c>
      <c r="J64" s="1">
        <f t="array" ref="J64">--ISNUMBER(IFERROR(SEARCH(Synthése!$E$3,D64,1),""))</f>
        <v>1</v>
      </c>
      <c r="K64" s="1">
        <f>IF(J64=1,COUNTIF($J$3:J64,1),"")</f>
        <v>62</v>
      </c>
      <c r="L64" s="1" t="str">
        <f t="array" ref="L64">IFERROR(INDEX($D$3:$D$300,MATCH(ROWS($K$3:K64),$K$3:$K$300,0)),"")</f>
        <v>AHIZOUNE   Abdeali</v>
      </c>
    </row>
    <row r="65" spans="4:12" ht="16.5" thickTop="1" thickBot="1" x14ac:dyDescent="0.3">
      <c r="D65" s="16" t="s">
        <v>145</v>
      </c>
      <c r="E65" s="1" t="s">
        <v>146</v>
      </c>
      <c r="F65" s="1" t="s">
        <v>143</v>
      </c>
      <c r="G65" s="1" t="s">
        <v>144</v>
      </c>
      <c r="H65" s="1" t="s">
        <v>5</v>
      </c>
      <c r="J65" s="1">
        <f t="array" ref="J65">--ISNUMBER(IFERROR(SEARCH(Synthése!$E$3,D65,1),""))</f>
        <v>1</v>
      </c>
      <c r="K65" s="1">
        <f>IF(J65=1,COUNTIF($J$3:J65,1),"")</f>
        <v>63</v>
      </c>
      <c r="L65" s="1" t="str">
        <f t="array" ref="L65">IFERROR(INDEX($D$3:$D$300,MATCH(ROWS($K$3:K65),$K$3:$K$300,0)),"")</f>
        <v>CAMARA  Papa MALICK</v>
      </c>
    </row>
    <row r="66" spans="4:12" ht="16.5" thickTop="1" thickBot="1" x14ac:dyDescent="0.3">
      <c r="D66" s="16" t="s">
        <v>147</v>
      </c>
      <c r="E66" s="1" t="s">
        <v>148</v>
      </c>
      <c r="F66" s="1" t="s">
        <v>143</v>
      </c>
      <c r="G66" s="1" t="s">
        <v>144</v>
      </c>
      <c r="H66" s="1" t="s">
        <v>5</v>
      </c>
      <c r="J66" s="1">
        <f t="array" ref="J66">--ISNUMBER(IFERROR(SEARCH(Synthése!$E$3,D66,1),""))</f>
        <v>1</v>
      </c>
      <c r="K66" s="1">
        <f>IF(J66=1,COUNTIF($J$3:J66,1),"")</f>
        <v>64</v>
      </c>
      <c r="L66" s="1" t="str">
        <f t="array" ref="L66">IFERROR(INDEX($D$3:$D$300,MATCH(ROWS($K$3:K66),$K$3:$K$300,0)),"")</f>
        <v>EL ALAOUI  Zineb</v>
      </c>
    </row>
    <row r="67" spans="4:12" ht="16.5" thickTop="1" thickBot="1" x14ac:dyDescent="0.3">
      <c r="D67" s="16" t="s">
        <v>149</v>
      </c>
      <c r="E67" s="1" t="s">
        <v>150</v>
      </c>
      <c r="F67" s="1" t="s">
        <v>3</v>
      </c>
      <c r="G67" s="1" t="s">
        <v>144</v>
      </c>
      <c r="H67" s="1" t="s">
        <v>5</v>
      </c>
      <c r="J67" s="1">
        <f t="array" ref="J67">--ISNUMBER(IFERROR(SEARCH(Synthése!$E$3,D67,1),""))</f>
        <v>1</v>
      </c>
      <c r="K67" s="1">
        <f>IF(J67=1,COUNTIF($J$3:J67,1),"")</f>
        <v>65</v>
      </c>
      <c r="L67" s="1" t="str">
        <f t="array" ref="L67">IFERROR(INDEX($D$3:$D$300,MATCH(ROWS($K$3:K67),$K$3:$K$300,0)),"")</f>
        <v>LAQZYI  Hajar</v>
      </c>
    </row>
    <row r="68" spans="4:12" ht="16.5" thickTop="1" thickBot="1" x14ac:dyDescent="0.3">
      <c r="D68" s="16" t="s">
        <v>151</v>
      </c>
      <c r="E68" s="1" t="s">
        <v>152</v>
      </c>
      <c r="F68" s="1" t="s">
        <v>143</v>
      </c>
      <c r="G68" s="1" t="s">
        <v>144</v>
      </c>
      <c r="H68" s="1" t="s">
        <v>5</v>
      </c>
      <c r="J68" s="1">
        <f t="array" ref="J68">--ISNUMBER(IFERROR(SEARCH(Synthése!$E$3,D68,1),""))</f>
        <v>1</v>
      </c>
      <c r="K68" s="1">
        <f>IF(J68=1,COUNTIF($J$3:J68,1),"")</f>
        <v>66</v>
      </c>
      <c r="L68" s="1" t="str">
        <f t="array" ref="L68">IFERROR(INDEX($D$3:$D$300,MATCH(ROWS($K$3:K68),$K$3:$K$300,0)),"")</f>
        <v>ALIOUA  Mohcine</v>
      </c>
    </row>
    <row r="69" spans="4:12" ht="16.5" thickTop="1" thickBot="1" x14ac:dyDescent="0.3">
      <c r="D69" s="16" t="s">
        <v>153</v>
      </c>
      <c r="E69" s="1" t="s">
        <v>154</v>
      </c>
      <c r="F69" s="1" t="s">
        <v>143</v>
      </c>
      <c r="G69" s="1" t="s">
        <v>144</v>
      </c>
      <c r="H69" s="1" t="s">
        <v>5</v>
      </c>
      <c r="J69" s="1">
        <f t="array" ref="J69">--ISNUMBER(IFERROR(SEARCH(Synthése!$E$3,D69,1),""))</f>
        <v>1</v>
      </c>
      <c r="K69" s="1">
        <f>IF(J69=1,COUNTIF($J$3:J69,1),"")</f>
        <v>67</v>
      </c>
      <c r="L69" s="1" t="str">
        <f t="array" ref="L69">IFERROR(INDEX($D$3:$D$300,MATCH(ROWS($K$3:K69),$K$3:$K$300,0)),"")</f>
        <v>ALALAMI  Jamila</v>
      </c>
    </row>
    <row r="70" spans="4:12" ht="16.5" thickTop="1" thickBot="1" x14ac:dyDescent="0.3">
      <c r="D70" s="16" t="s">
        <v>155</v>
      </c>
      <c r="E70" s="1" t="s">
        <v>156</v>
      </c>
      <c r="F70" s="1" t="s">
        <v>157</v>
      </c>
      <c r="G70" s="1" t="s">
        <v>144</v>
      </c>
      <c r="H70" s="1" t="s">
        <v>5</v>
      </c>
      <c r="J70" s="1">
        <f t="array" ref="J70">--ISNUMBER(IFERROR(SEARCH(Synthése!$E$3,D70,1),""))</f>
        <v>1</v>
      </c>
      <c r="K70" s="1">
        <f>IF(J70=1,COUNTIF($J$3:J70,1),"")</f>
        <v>68</v>
      </c>
      <c r="L70" s="1" t="str">
        <f t="array" ref="L70">IFERROR(INDEX($D$3:$D$300,MATCH(ROWS($K$3:K70),$K$3:$K$300,0)),"")</f>
        <v>BOUHADI  Yassine</v>
      </c>
    </row>
    <row r="71" spans="4:12" ht="16.5" thickTop="1" thickBot="1" x14ac:dyDescent="0.3">
      <c r="D71" s="16" t="s">
        <v>158</v>
      </c>
      <c r="E71" s="1" t="s">
        <v>159</v>
      </c>
      <c r="F71" s="1" t="s">
        <v>157</v>
      </c>
      <c r="G71" s="1" t="s">
        <v>144</v>
      </c>
      <c r="H71" s="1" t="s">
        <v>5</v>
      </c>
      <c r="J71" s="1">
        <f t="array" ref="J71">--ISNUMBER(IFERROR(SEARCH(Synthése!$E$3,D71,1),""))</f>
        <v>1</v>
      </c>
      <c r="K71" s="1">
        <f>IF(J71=1,COUNTIF($J$3:J71,1),"")</f>
        <v>69</v>
      </c>
      <c r="L71" s="1" t="str">
        <f t="array" ref="L71">IFERROR(INDEX($D$3:$D$300,MATCH(ROWS($K$3:K71),$K$3:$K$300,0)),"")</f>
        <v>ELOUADI  Ibtissem</v>
      </c>
    </row>
    <row r="72" spans="4:12" ht="16.5" thickTop="1" thickBot="1" x14ac:dyDescent="0.3">
      <c r="D72" s="16" t="s">
        <v>160</v>
      </c>
      <c r="E72" s="1" t="s">
        <v>161</v>
      </c>
      <c r="F72" s="1" t="s">
        <v>157</v>
      </c>
      <c r="G72" s="1" t="s">
        <v>144</v>
      </c>
      <c r="H72" s="1" t="s">
        <v>5</v>
      </c>
      <c r="J72" s="1">
        <f t="array" ref="J72">--ISNUMBER(IFERROR(SEARCH(Synthése!$E$3,D72,1),""))</f>
        <v>1</v>
      </c>
      <c r="K72" s="1">
        <f>IF(J72=1,COUNTIF($J$3:J72,1),"")</f>
        <v>70</v>
      </c>
      <c r="L72" s="1" t="str">
        <f t="array" ref="L72">IFERROR(INDEX($D$3:$D$300,MATCH(ROWS($K$3:K72),$K$3:$K$300,0)),"")</f>
        <v>BEL HOUCINE  MAHA</v>
      </c>
    </row>
    <row r="73" spans="4:12" ht="16.5" thickTop="1" thickBot="1" x14ac:dyDescent="0.3">
      <c r="D73" s="16" t="s">
        <v>162</v>
      </c>
      <c r="E73" s="1" t="s">
        <v>163</v>
      </c>
      <c r="F73" s="1" t="s">
        <v>157</v>
      </c>
      <c r="G73" s="1" t="s">
        <v>144</v>
      </c>
      <c r="H73" s="1" t="s">
        <v>5</v>
      </c>
      <c r="J73" s="1">
        <f t="array" ref="J73">--ISNUMBER(IFERROR(SEARCH(Synthése!$E$3,D73,1),""))</f>
        <v>1</v>
      </c>
      <c r="K73" s="1">
        <f>IF(J73=1,COUNTIF($J$3:J73,1),"")</f>
        <v>71</v>
      </c>
      <c r="L73" s="1" t="str">
        <f t="array" ref="L73">IFERROR(INDEX($D$3:$D$300,MATCH(ROWS($K$3:K73),$K$3:$K$300,0)),"")</f>
        <v>EL HADRI  SOFIA</v>
      </c>
    </row>
    <row r="74" spans="4:12" ht="16.5" thickTop="1" thickBot="1" x14ac:dyDescent="0.3">
      <c r="D74" s="16" t="s">
        <v>164</v>
      </c>
      <c r="E74" s="1" t="s">
        <v>165</v>
      </c>
      <c r="F74" s="1" t="s">
        <v>157</v>
      </c>
      <c r="G74" s="1" t="s">
        <v>144</v>
      </c>
      <c r="H74" s="1" t="s">
        <v>5</v>
      </c>
      <c r="J74" s="1">
        <f t="array" ref="J74">--ISNUMBER(IFERROR(SEARCH(Synthése!$E$3,D74,1),""))</f>
        <v>1</v>
      </c>
      <c r="K74" s="1">
        <f>IF(J74=1,COUNTIF($J$3:J74,1),"")</f>
        <v>72</v>
      </c>
      <c r="L74" s="1" t="str">
        <f t="array" ref="L74">IFERROR(INDEX($D$3:$D$300,MATCH(ROWS($K$3:K74),$K$3:$K$300,0)),"")</f>
        <v>BAQLOUL  Fatine</v>
      </c>
    </row>
    <row r="75" spans="4:12" ht="16.5" thickTop="1" thickBot="1" x14ac:dyDescent="0.3">
      <c r="D75" s="16" t="s">
        <v>166</v>
      </c>
      <c r="E75" s="1" t="s">
        <v>167</v>
      </c>
      <c r="F75" s="1" t="s">
        <v>157</v>
      </c>
      <c r="G75" s="1" t="s">
        <v>144</v>
      </c>
      <c r="H75" s="1" t="s">
        <v>5</v>
      </c>
      <c r="J75" s="1">
        <f t="array" ref="J75">--ISNUMBER(IFERROR(SEARCH(Synthése!$E$3,D75,1),""))</f>
        <v>1</v>
      </c>
      <c r="K75" s="1">
        <f>IF(J75=1,COUNTIF($J$3:J75,1),"")</f>
        <v>73</v>
      </c>
      <c r="L75" s="1" t="str">
        <f t="array" ref="L75">IFERROR(INDEX($D$3:$D$300,MATCH(ROWS($K$3:K75),$K$3:$K$300,0)),"")</f>
        <v>EDDIBA  Saoussane</v>
      </c>
    </row>
    <row r="76" spans="4:12" ht="16.5" thickTop="1" thickBot="1" x14ac:dyDescent="0.3">
      <c r="D76" s="16" t="s">
        <v>168</v>
      </c>
      <c r="E76" s="1" t="s">
        <v>169</v>
      </c>
      <c r="F76" s="1" t="s">
        <v>157</v>
      </c>
      <c r="G76" s="1" t="s">
        <v>144</v>
      </c>
      <c r="H76" s="1" t="s">
        <v>5</v>
      </c>
      <c r="J76" s="1">
        <f t="array" ref="J76">--ISNUMBER(IFERROR(SEARCH(Synthése!$E$3,D76,1),""))</f>
        <v>1</v>
      </c>
      <c r="K76" s="1">
        <f>IF(J76=1,COUNTIF($J$3:J76,1),"")</f>
        <v>74</v>
      </c>
      <c r="L76" s="1" t="str">
        <f t="array" ref="L76">IFERROR(INDEX($D$3:$D$300,MATCH(ROWS($K$3:K76),$K$3:$K$300,0)),"")</f>
        <v>LAHJOUMRI  Imane</v>
      </c>
    </row>
    <row r="77" spans="4:12" ht="16.5" thickTop="1" thickBot="1" x14ac:dyDescent="0.3">
      <c r="D77" s="16" t="s">
        <v>170</v>
      </c>
      <c r="E77" s="1" t="s">
        <v>171</v>
      </c>
      <c r="F77" s="1" t="s">
        <v>157</v>
      </c>
      <c r="G77" s="1" t="s">
        <v>144</v>
      </c>
      <c r="H77" s="1" t="s">
        <v>5</v>
      </c>
      <c r="J77" s="1">
        <f t="array" ref="J77">--ISNUMBER(IFERROR(SEARCH(Synthése!$E$3,D77,1),""))</f>
        <v>1</v>
      </c>
      <c r="K77" s="1">
        <f>IF(J77=1,COUNTIF($J$3:J77,1),"")</f>
        <v>75</v>
      </c>
      <c r="L77" s="1" t="str">
        <f t="array" ref="L77">IFERROR(INDEX($D$3:$D$300,MATCH(ROWS($K$3:K77),$K$3:$K$300,0)),"")</f>
        <v>MOUDOU  ILHAM</v>
      </c>
    </row>
    <row r="78" spans="4:12" ht="16.5" thickTop="1" thickBot="1" x14ac:dyDescent="0.3">
      <c r="D78" s="16" t="s">
        <v>172</v>
      </c>
      <c r="E78" s="1" t="s">
        <v>173</v>
      </c>
      <c r="F78" s="1" t="s">
        <v>157</v>
      </c>
      <c r="G78" s="1" t="s">
        <v>144</v>
      </c>
      <c r="H78" s="1" t="s">
        <v>5</v>
      </c>
      <c r="J78" s="1">
        <f t="array" ref="J78">--ISNUMBER(IFERROR(SEARCH(Synthése!$E$3,D78,1),""))</f>
        <v>1</v>
      </c>
      <c r="K78" s="1">
        <f>IF(J78=1,COUNTIF($J$3:J78,1),"")</f>
        <v>76</v>
      </c>
      <c r="L78" s="1" t="str">
        <f t="array" ref="L78">IFERROR(INDEX($D$3:$D$300,MATCH(ROWS($K$3:K78),$K$3:$K$300,0)),"")</f>
        <v>BENMESBAH  ILHAM</v>
      </c>
    </row>
    <row r="79" spans="4:12" ht="16.5" thickTop="1" thickBot="1" x14ac:dyDescent="0.3">
      <c r="D79" s="16" t="s">
        <v>174</v>
      </c>
      <c r="E79" s="1" t="s">
        <v>175</v>
      </c>
      <c r="F79" s="1" t="s">
        <v>157</v>
      </c>
      <c r="G79" s="1" t="s">
        <v>144</v>
      </c>
      <c r="H79" s="1" t="s">
        <v>5</v>
      </c>
      <c r="J79" s="1">
        <f t="array" ref="J79">--ISNUMBER(IFERROR(SEARCH(Synthése!$E$3,D79,1),""))</f>
        <v>1</v>
      </c>
      <c r="K79" s="1">
        <f>IF(J79=1,COUNTIF($J$3:J79,1),"")</f>
        <v>77</v>
      </c>
      <c r="L79" s="1" t="str">
        <f t="array" ref="L79">IFERROR(INDEX($D$3:$D$300,MATCH(ROWS($K$3:K79),$K$3:$K$300,0)),"")</f>
        <v>RAHHALI  lalla afaf</v>
      </c>
    </row>
    <row r="80" spans="4:12" ht="16.5" thickTop="1" thickBot="1" x14ac:dyDescent="0.3">
      <c r="D80" s="16" t="s">
        <v>176</v>
      </c>
      <c r="E80" s="1" t="s">
        <v>177</v>
      </c>
      <c r="F80" s="1" t="s">
        <v>157</v>
      </c>
      <c r="G80" s="1" t="s">
        <v>144</v>
      </c>
      <c r="H80" s="1" t="s">
        <v>5</v>
      </c>
      <c r="J80" s="1">
        <f t="array" ref="J80">--ISNUMBER(IFERROR(SEARCH(Synthése!$E$3,D80,1),""))</f>
        <v>1</v>
      </c>
      <c r="K80" s="1">
        <f>IF(J80=1,COUNTIF($J$3:J80,1),"")</f>
        <v>78</v>
      </c>
      <c r="L80" s="1" t="str">
        <f t="array" ref="L80">IFERROR(INDEX($D$3:$D$300,MATCH(ROWS($K$3:K80),$K$3:$K$300,0)),"")</f>
        <v>BOUKAROU  Naima</v>
      </c>
    </row>
    <row r="81" spans="4:12" ht="16.5" thickTop="1" thickBot="1" x14ac:dyDescent="0.3">
      <c r="D81" s="16" t="s">
        <v>178</v>
      </c>
      <c r="E81" s="1" t="s">
        <v>179</v>
      </c>
      <c r="F81" s="1" t="s">
        <v>3</v>
      </c>
      <c r="G81" s="1" t="s">
        <v>144</v>
      </c>
      <c r="H81" s="1" t="s">
        <v>5</v>
      </c>
      <c r="J81" s="1">
        <f t="array" ref="J81">--ISNUMBER(IFERROR(SEARCH(Synthése!$E$3,D81,1),""))</f>
        <v>1</v>
      </c>
      <c r="K81" s="1">
        <f>IF(J81=1,COUNTIF($J$3:J81,1),"")</f>
        <v>79</v>
      </c>
      <c r="L81" s="1" t="str">
        <f t="array" ref="L81">IFERROR(INDEX($D$3:$D$300,MATCH(ROWS($K$3:K81),$K$3:$K$300,0)),"")</f>
        <v>ASOUAB  Imane</v>
      </c>
    </row>
    <row r="82" spans="4:12" ht="16.5" thickTop="1" thickBot="1" x14ac:dyDescent="0.3">
      <c r="D82" s="16" t="s">
        <v>180</v>
      </c>
      <c r="E82" s="1" t="s">
        <v>181</v>
      </c>
      <c r="F82" s="1" t="s">
        <v>3</v>
      </c>
      <c r="G82" s="1" t="s">
        <v>144</v>
      </c>
      <c r="H82" s="1" t="s">
        <v>5</v>
      </c>
      <c r="J82" s="1">
        <f t="array" ref="J82">--ISNUMBER(IFERROR(SEARCH(Synthése!$E$3,D82,1),""))</f>
        <v>1</v>
      </c>
      <c r="K82" s="1">
        <f>IF(J82=1,COUNTIF($J$3:J82,1),"")</f>
        <v>80</v>
      </c>
      <c r="L82" s="1" t="str">
        <f t="array" ref="L82">IFERROR(INDEX($D$3:$D$300,MATCH(ROWS($K$3:K82),$K$3:$K$300,0)),"")</f>
        <v>NOUSSAIBI  NADIA</v>
      </c>
    </row>
    <row r="83" spans="4:12" ht="16.5" thickTop="1" thickBot="1" x14ac:dyDescent="0.3">
      <c r="D83" s="16" t="s">
        <v>182</v>
      </c>
      <c r="E83" s="1" t="s">
        <v>183</v>
      </c>
      <c r="F83" s="1" t="s">
        <v>184</v>
      </c>
      <c r="G83" s="1" t="s">
        <v>144</v>
      </c>
      <c r="H83" s="1" t="s">
        <v>5</v>
      </c>
      <c r="J83" s="1">
        <f t="array" ref="J83">--ISNUMBER(IFERROR(SEARCH(Synthése!$E$3,D83,1),""))</f>
        <v>1</v>
      </c>
      <c r="K83" s="1">
        <f>IF(J83=1,COUNTIF($J$3:J83,1),"")</f>
        <v>81</v>
      </c>
      <c r="L83" s="1" t="str">
        <f t="array" ref="L83">IFERROR(INDEX($D$3:$D$300,MATCH(ROWS($K$3:K83),$K$3:$K$300,0)),"")</f>
        <v>EL YAKOUTI  Bouchra</v>
      </c>
    </row>
    <row r="84" spans="4:12" ht="16.5" thickTop="1" thickBot="1" x14ac:dyDescent="0.3">
      <c r="D84" s="16" t="s">
        <v>185</v>
      </c>
      <c r="E84" s="1" t="s">
        <v>186</v>
      </c>
      <c r="F84" s="1" t="s">
        <v>184</v>
      </c>
      <c r="G84" s="1" t="s">
        <v>144</v>
      </c>
      <c r="H84" s="1" t="s">
        <v>5</v>
      </c>
      <c r="J84" s="1">
        <f t="array" ref="J84">--ISNUMBER(IFERROR(SEARCH(Synthése!$E$3,D84,1),""))</f>
        <v>1</v>
      </c>
      <c r="K84" s="1">
        <f>IF(J84=1,COUNTIF($J$3:J84,1),"")</f>
        <v>82</v>
      </c>
      <c r="L84" s="1" t="str">
        <f t="array" ref="L84">IFERROR(INDEX($D$3:$D$300,MATCH(ROWS($K$3:K84),$K$3:$K$300,0)),"")</f>
        <v>ROUHI  WIAME</v>
      </c>
    </row>
    <row r="85" spans="4:12" ht="16.5" thickTop="1" thickBot="1" x14ac:dyDescent="0.3">
      <c r="D85" s="16" t="s">
        <v>187</v>
      </c>
      <c r="E85" s="1" t="s">
        <v>188</v>
      </c>
      <c r="F85" s="1" t="s">
        <v>184</v>
      </c>
      <c r="G85" s="1" t="s">
        <v>144</v>
      </c>
      <c r="H85" s="1" t="s">
        <v>5</v>
      </c>
      <c r="J85" s="1">
        <f t="array" ref="J85">--ISNUMBER(IFERROR(SEARCH(Synthése!$E$3,D85,1),""))</f>
        <v>1</v>
      </c>
      <c r="K85" s="1">
        <f>IF(J85=1,COUNTIF($J$3:J85,1),"")</f>
        <v>83</v>
      </c>
      <c r="L85" s="1" t="str">
        <f t="array" ref="L85">IFERROR(INDEX($D$3:$D$300,MATCH(ROWS($K$3:K85),$K$3:$K$300,0)),"")</f>
        <v>CHEBRAOUI  Fatima Hadhoum</v>
      </c>
    </row>
    <row r="86" spans="4:12" ht="16.5" thickTop="1" thickBot="1" x14ac:dyDescent="0.3">
      <c r="D86" s="16" t="s">
        <v>189</v>
      </c>
      <c r="E86" s="1" t="s">
        <v>190</v>
      </c>
      <c r="F86" s="1" t="s">
        <v>184</v>
      </c>
      <c r="G86" s="1" t="s">
        <v>144</v>
      </c>
      <c r="H86" s="1" t="s">
        <v>5</v>
      </c>
      <c r="J86" s="1">
        <f t="array" ref="J86">--ISNUMBER(IFERROR(SEARCH(Synthése!$E$3,D86,1),""))</f>
        <v>1</v>
      </c>
      <c r="K86" s="1">
        <f>IF(J86=1,COUNTIF($J$3:J86,1),"")</f>
        <v>84</v>
      </c>
      <c r="L86" s="1" t="str">
        <f t="array" ref="L86">IFERROR(INDEX($D$3:$D$300,MATCH(ROWS($K$3:K86),$K$3:$K$300,0)),"")</f>
        <v>EL FASI  Lamiaa</v>
      </c>
    </row>
    <row r="87" spans="4:12" ht="16.5" thickTop="1" thickBot="1" x14ac:dyDescent="0.3">
      <c r="D87" s="16" t="s">
        <v>191</v>
      </c>
      <c r="E87" s="1" t="s">
        <v>192</v>
      </c>
      <c r="F87" s="1" t="s">
        <v>184</v>
      </c>
      <c r="G87" s="1" t="s">
        <v>144</v>
      </c>
      <c r="H87" s="1" t="s">
        <v>5</v>
      </c>
      <c r="J87" s="1">
        <f t="array" ref="J87">--ISNUMBER(IFERROR(SEARCH(Synthése!$E$3,D87,1),""))</f>
        <v>1</v>
      </c>
      <c r="K87" s="1">
        <f>IF(J87=1,COUNTIF($J$3:J87,1),"")</f>
        <v>85</v>
      </c>
      <c r="L87" s="1" t="str">
        <f t="array" ref="L87">IFERROR(INDEX($D$3:$D$300,MATCH(ROWS($K$3:K87),$K$3:$K$300,0)),"")</f>
        <v>ES-SEMLALI  Anass</v>
      </c>
    </row>
    <row r="88" spans="4:12" ht="16.5" thickTop="1" thickBot="1" x14ac:dyDescent="0.3">
      <c r="D88" s="16" t="s">
        <v>193</v>
      </c>
      <c r="E88" s="1" t="s">
        <v>194</v>
      </c>
      <c r="F88" s="1" t="s">
        <v>143</v>
      </c>
      <c r="G88" s="1" t="s">
        <v>144</v>
      </c>
      <c r="H88" s="1" t="s">
        <v>5</v>
      </c>
      <c r="J88" s="1">
        <f t="array" ref="J88">--ISNUMBER(IFERROR(SEARCH(Synthése!$E$3,D88,1),""))</f>
        <v>1</v>
      </c>
      <c r="K88" s="1">
        <f>IF(J88=1,COUNTIF($J$3:J88,1),"")</f>
        <v>86</v>
      </c>
      <c r="L88" s="1" t="str">
        <f t="array" ref="L88">IFERROR(INDEX($D$3:$D$300,MATCH(ROWS($K$3:K88),$K$3:$K$300,0)),"")</f>
        <v>ELHAMDOUCHI  Rajae</v>
      </c>
    </row>
    <row r="89" spans="4:12" ht="16.5" thickTop="1" thickBot="1" x14ac:dyDescent="0.3">
      <c r="D89" s="16" t="s">
        <v>195</v>
      </c>
      <c r="E89" s="1" t="s">
        <v>196</v>
      </c>
      <c r="F89" s="1" t="s">
        <v>3</v>
      </c>
      <c r="G89" s="1" t="s">
        <v>144</v>
      </c>
      <c r="H89" s="1" t="s">
        <v>5</v>
      </c>
      <c r="J89" s="1">
        <f t="array" ref="J89">--ISNUMBER(IFERROR(SEARCH(Synthése!$E$3,D89,1),""))</f>
        <v>1</v>
      </c>
      <c r="K89" s="1">
        <f>IF(J89=1,COUNTIF($J$3:J89,1),"")</f>
        <v>87</v>
      </c>
      <c r="L89" s="1" t="str">
        <f t="array" ref="L89">IFERROR(INDEX($D$3:$D$300,MATCH(ROWS($K$3:K89),$K$3:$K$300,0)),"")</f>
        <v>AKARBAL  AFAF</v>
      </c>
    </row>
    <row r="90" spans="4:12" ht="16.5" thickTop="1" thickBot="1" x14ac:dyDescent="0.3">
      <c r="D90" s="16" t="s">
        <v>197</v>
      </c>
      <c r="E90" s="1" t="s">
        <v>198</v>
      </c>
      <c r="F90" s="1" t="s">
        <v>3</v>
      </c>
      <c r="G90" s="1" t="s">
        <v>144</v>
      </c>
      <c r="H90" s="1" t="s">
        <v>5</v>
      </c>
      <c r="J90" s="1">
        <f t="array" ref="J90">--ISNUMBER(IFERROR(SEARCH(Synthése!$E$3,D90,1),""))</f>
        <v>1</v>
      </c>
      <c r="K90" s="1">
        <f>IF(J90=1,COUNTIF($J$3:J90,1),"")</f>
        <v>88</v>
      </c>
      <c r="L90" s="1" t="str">
        <f t="array" ref="L90">IFERROR(INDEX($D$3:$D$300,MATCH(ROWS($K$3:K90),$K$3:$K$300,0)),"")</f>
        <v>MESBAHI  Asmae</v>
      </c>
    </row>
    <row r="91" spans="4:12" ht="16.5" thickTop="1" thickBot="1" x14ac:dyDescent="0.3">
      <c r="D91" s="16" t="s">
        <v>199</v>
      </c>
      <c r="E91" s="1" t="s">
        <v>200</v>
      </c>
      <c r="F91" s="1" t="s">
        <v>3</v>
      </c>
      <c r="G91" s="1" t="s">
        <v>144</v>
      </c>
      <c r="H91" s="1" t="s">
        <v>5</v>
      </c>
      <c r="J91" s="1">
        <f t="array" ref="J91">--ISNUMBER(IFERROR(SEARCH(Synthése!$E$3,D91,1),""))</f>
        <v>1</v>
      </c>
      <c r="K91" s="1">
        <f>IF(J91=1,COUNTIF($J$3:J91,1),"")</f>
        <v>89</v>
      </c>
      <c r="L91" s="1" t="str">
        <f t="array" ref="L91">IFERROR(INDEX($D$3:$D$300,MATCH(ROWS($K$3:K91),$K$3:$K$300,0)),"")</f>
        <v>AZIZ  SIHAM</v>
      </c>
    </row>
    <row r="92" spans="4:12" ht="16.5" thickTop="1" thickBot="1" x14ac:dyDescent="0.3">
      <c r="D92" s="16" t="s">
        <v>201</v>
      </c>
      <c r="E92" s="1" t="s">
        <v>202</v>
      </c>
      <c r="F92" s="1" t="s">
        <v>184</v>
      </c>
      <c r="G92" s="1" t="s">
        <v>144</v>
      </c>
      <c r="H92" s="1" t="s">
        <v>5</v>
      </c>
      <c r="J92" s="1">
        <f t="array" ref="J92">--ISNUMBER(IFERROR(SEARCH(Synthése!$E$3,D92,1),""))</f>
        <v>1</v>
      </c>
      <c r="K92" s="1">
        <f>IF(J92=1,COUNTIF($J$3:J92,1),"")</f>
        <v>90</v>
      </c>
      <c r="L92" s="1" t="str">
        <f t="array" ref="L92">IFERROR(INDEX($D$3:$D$300,MATCH(ROWS($K$3:K92),$K$3:$K$300,0)),"")</f>
        <v>WANIR  Zakaria</v>
      </c>
    </row>
    <row r="93" spans="4:12" ht="16.5" thickTop="1" thickBot="1" x14ac:dyDescent="0.3">
      <c r="D93" s="16" t="s">
        <v>203</v>
      </c>
      <c r="E93" s="1" t="s">
        <v>204</v>
      </c>
      <c r="F93" s="1" t="s">
        <v>184</v>
      </c>
      <c r="G93" s="1" t="s">
        <v>144</v>
      </c>
      <c r="H93" s="1" t="s">
        <v>5</v>
      </c>
      <c r="J93" s="1">
        <f t="array" ref="J93">--ISNUMBER(IFERROR(SEARCH(Synthése!$E$3,D93,1),""))</f>
        <v>1</v>
      </c>
      <c r="K93" s="1">
        <f>IF(J93=1,COUNTIF($J$3:J93,1),"")</f>
        <v>91</v>
      </c>
      <c r="L93" s="1" t="str">
        <f t="array" ref="L93">IFERROR(INDEX($D$3:$D$300,MATCH(ROWS($K$3:K93),$K$3:$K$300,0)),"")</f>
        <v>ANOUAR  Lamiaa</v>
      </c>
    </row>
    <row r="94" spans="4:12" ht="16.5" thickTop="1" thickBot="1" x14ac:dyDescent="0.3">
      <c r="D94" s="16" t="s">
        <v>205</v>
      </c>
      <c r="E94" s="1" t="s">
        <v>206</v>
      </c>
      <c r="F94" s="1" t="s">
        <v>143</v>
      </c>
      <c r="G94" s="1" t="s">
        <v>144</v>
      </c>
      <c r="H94" s="1" t="s">
        <v>5</v>
      </c>
      <c r="J94" s="1">
        <f t="array" ref="J94">--ISNUMBER(IFERROR(SEARCH(Synthése!$E$3,D94,1),""))</f>
        <v>1</v>
      </c>
      <c r="K94" s="1">
        <f>IF(J94=1,COUNTIF($J$3:J94,1),"")</f>
        <v>92</v>
      </c>
      <c r="L94" s="1" t="str">
        <f t="array" ref="L94">IFERROR(INDEX($D$3:$D$300,MATCH(ROWS($K$3:K94),$K$3:$K$300,0)),"")</f>
        <v>MEROUANE  Assya</v>
      </c>
    </row>
    <row r="95" spans="4:12" ht="16.5" thickTop="1" thickBot="1" x14ac:dyDescent="0.3">
      <c r="D95" s="16" t="s">
        <v>207</v>
      </c>
      <c r="E95" s="1" t="s">
        <v>208</v>
      </c>
      <c r="F95" s="1" t="s">
        <v>143</v>
      </c>
      <c r="G95" s="1" t="s">
        <v>144</v>
      </c>
      <c r="H95" s="1" t="s">
        <v>5</v>
      </c>
      <c r="J95" s="1">
        <f t="array" ref="J95">--ISNUMBER(IFERROR(SEARCH(Synthése!$E$3,D95,1),""))</f>
        <v>1</v>
      </c>
      <c r="K95" s="1">
        <f>IF(J95=1,COUNTIF($J$3:J95,1),"")</f>
        <v>93</v>
      </c>
      <c r="L95" s="1" t="str">
        <f t="array" ref="L95">IFERROR(INDEX($D$3:$D$300,MATCH(ROWS($K$3:K95),$K$3:$K$300,0)),"")</f>
        <v>CHERGUI  MAROUANE</v>
      </c>
    </row>
    <row r="96" spans="4:12" ht="16.5" thickTop="1" thickBot="1" x14ac:dyDescent="0.3">
      <c r="D96" s="16" t="s">
        <v>209</v>
      </c>
      <c r="E96" s="1" t="s">
        <v>210</v>
      </c>
      <c r="F96" s="1" t="s">
        <v>3</v>
      </c>
      <c r="G96" s="1" t="s">
        <v>144</v>
      </c>
      <c r="H96" s="1" t="s">
        <v>5</v>
      </c>
      <c r="J96" s="1">
        <f t="array" ref="J96">--ISNUMBER(IFERROR(SEARCH(Synthése!$E$3,D96,1),""))</f>
        <v>1</v>
      </c>
      <c r="K96" s="1">
        <f>IF(J96=1,COUNTIF($J$3:J96,1),"")</f>
        <v>94</v>
      </c>
      <c r="L96" s="1" t="str">
        <f t="array" ref="L96">IFERROR(INDEX($D$3:$D$300,MATCH(ROWS($K$3:K96),$K$3:$K$300,0)),"")</f>
        <v>LOUKIDE  Khadija</v>
      </c>
    </row>
    <row r="97" spans="4:12" ht="16.5" thickTop="1" thickBot="1" x14ac:dyDescent="0.3">
      <c r="D97" s="16" t="s">
        <v>211</v>
      </c>
      <c r="E97" s="1" t="s">
        <v>212</v>
      </c>
      <c r="F97" s="1" t="s">
        <v>3</v>
      </c>
      <c r="G97" s="1" t="s">
        <v>144</v>
      </c>
      <c r="H97" s="1" t="s">
        <v>5</v>
      </c>
      <c r="J97" s="1">
        <f t="array" ref="J97">--ISNUMBER(IFERROR(SEARCH(Synthése!$E$3,D97,1),""))</f>
        <v>1</v>
      </c>
      <c r="K97" s="1">
        <f>IF(J97=1,COUNTIF($J$3:J97,1),"")</f>
        <v>95</v>
      </c>
      <c r="L97" s="1" t="str">
        <f t="array" ref="L97">IFERROR(INDEX($D$3:$D$300,MATCH(ROWS($K$3:K97),$K$3:$K$300,0)),"")</f>
        <v>BACHIR  MARIA KHADRA</v>
      </c>
    </row>
    <row r="98" spans="4:12" ht="16.5" thickTop="1" thickBot="1" x14ac:dyDescent="0.3">
      <c r="D98" s="16" t="s">
        <v>213</v>
      </c>
      <c r="E98" s="1" t="s">
        <v>214</v>
      </c>
      <c r="F98" s="1" t="s">
        <v>3</v>
      </c>
      <c r="G98" s="1" t="s">
        <v>144</v>
      </c>
      <c r="H98" s="1" t="s">
        <v>5</v>
      </c>
      <c r="J98" s="1">
        <f t="array" ref="J98">--ISNUMBER(IFERROR(SEARCH(Synthése!$E$3,D98,1),""))</f>
        <v>1</v>
      </c>
      <c r="K98" s="1">
        <f>IF(J98=1,COUNTIF($J$3:J98,1),"")</f>
        <v>96</v>
      </c>
      <c r="L98" s="1" t="str">
        <f t="array" ref="L98">IFERROR(INDEX($D$3:$D$300,MATCH(ROWS($K$3:K98),$K$3:$K$300,0)),"")</f>
        <v>MEJDOUBI  KARIM</v>
      </c>
    </row>
    <row r="99" spans="4:12" ht="16.5" thickTop="1" thickBot="1" x14ac:dyDescent="0.3">
      <c r="D99" s="16" t="s">
        <v>215</v>
      </c>
      <c r="E99" s="1" t="s">
        <v>216</v>
      </c>
      <c r="F99" s="1" t="s">
        <v>3</v>
      </c>
      <c r="G99" s="1" t="s">
        <v>144</v>
      </c>
      <c r="H99" s="1" t="s">
        <v>5</v>
      </c>
      <c r="J99" s="1">
        <f t="array" ref="J99">--ISNUMBER(IFERROR(SEARCH(Synthése!$E$3,D99,1),""))</f>
        <v>1</v>
      </c>
      <c r="K99" s="1">
        <f>IF(J99=1,COUNTIF($J$3:J99,1),"")</f>
        <v>97</v>
      </c>
      <c r="L99" s="1" t="str">
        <f t="array" ref="L99">IFERROR(INDEX($D$3:$D$300,MATCH(ROWS($K$3:K99),$K$3:$K$300,0)),"")</f>
        <v>YOUSFI  Houria</v>
      </c>
    </row>
    <row r="100" spans="4:12" ht="16.5" thickTop="1" thickBot="1" x14ac:dyDescent="0.3">
      <c r="D100" s="16" t="s">
        <v>217</v>
      </c>
      <c r="E100" s="1" t="s">
        <v>218</v>
      </c>
      <c r="F100" s="1" t="s">
        <v>3</v>
      </c>
      <c r="G100" s="1" t="s">
        <v>144</v>
      </c>
      <c r="H100" s="1" t="s">
        <v>5</v>
      </c>
      <c r="J100" s="1">
        <f t="array" ref="J100">--ISNUMBER(IFERROR(SEARCH(Synthése!$E$3,D100,1),""))</f>
        <v>1</v>
      </c>
      <c r="K100" s="1">
        <f>IF(J100=1,COUNTIF($J$3:J100,1),"")</f>
        <v>98</v>
      </c>
      <c r="L100" s="1" t="str">
        <f t="array" ref="L100">IFERROR(INDEX($D$3:$D$300,MATCH(ROWS($K$3:K100),$K$3:$K$300,0)),"")</f>
        <v>EL MESBAHI  MOHAMED ADNANE</v>
      </c>
    </row>
    <row r="101" spans="4:12" ht="16.5" thickTop="1" thickBot="1" x14ac:dyDescent="0.3">
      <c r="D101" s="16" t="s">
        <v>219</v>
      </c>
      <c r="E101" s="1" t="s">
        <v>220</v>
      </c>
      <c r="F101" s="1" t="s">
        <v>3</v>
      </c>
      <c r="G101" s="1" t="s">
        <v>144</v>
      </c>
      <c r="H101" s="1" t="s">
        <v>5</v>
      </c>
      <c r="J101" s="1">
        <f t="array" ref="J101">--ISNUMBER(IFERROR(SEARCH(Synthése!$E$3,D101,1),""))</f>
        <v>1</v>
      </c>
      <c r="K101" s="1">
        <f>IF(J101=1,COUNTIF($J$3:J101,1),"")</f>
        <v>99</v>
      </c>
      <c r="L101" s="1" t="str">
        <f t="array" ref="L101">IFERROR(INDEX($D$3:$D$300,MATCH(ROWS($K$3:K101),$K$3:$K$300,0)),"")</f>
        <v>OUJANI  Mehdi</v>
      </c>
    </row>
    <row r="102" spans="4:12" ht="16.5" thickTop="1" thickBot="1" x14ac:dyDescent="0.3">
      <c r="D102" s="16" t="s">
        <v>221</v>
      </c>
      <c r="E102" s="1" t="s">
        <v>222</v>
      </c>
      <c r="F102" s="1" t="s">
        <v>3</v>
      </c>
      <c r="G102" s="1" t="s">
        <v>144</v>
      </c>
      <c r="H102" s="1" t="s">
        <v>5</v>
      </c>
      <c r="J102" s="1">
        <f t="array" ref="J102">--ISNUMBER(IFERROR(SEARCH(Synthése!$E$3,D102,1),""))</f>
        <v>1</v>
      </c>
      <c r="K102" s="1">
        <f>IF(J102=1,COUNTIF($J$3:J102,1),"")</f>
        <v>100</v>
      </c>
      <c r="L102" s="1" t="str">
        <f t="array" ref="L102">IFERROR(INDEX($D$3:$D$300,MATCH(ROWS($K$3:K102),$K$3:$K$300,0)),"")</f>
        <v>BAI  Marwa</v>
      </c>
    </row>
    <row r="103" spans="4:12" ht="16.5" thickTop="1" thickBot="1" x14ac:dyDescent="0.3">
      <c r="D103" s="16" t="s">
        <v>223</v>
      </c>
      <c r="E103" s="1" t="s">
        <v>224</v>
      </c>
      <c r="F103" s="1" t="s">
        <v>3</v>
      </c>
      <c r="G103" s="1" t="s">
        <v>144</v>
      </c>
      <c r="H103" s="1" t="s">
        <v>5</v>
      </c>
      <c r="J103" s="1">
        <f t="array" ref="J103">--ISNUMBER(IFERROR(SEARCH(Synthése!$E$3,D103,1),""))</f>
        <v>1</v>
      </c>
      <c r="K103" s="1">
        <f>IF(J103=1,COUNTIF($J$3:J103,1),"")</f>
        <v>101</v>
      </c>
      <c r="L103" s="1" t="str">
        <f t="array" ref="L103">IFERROR(INDEX($D$3:$D$300,MATCH(ROWS($K$3:K103),$K$3:$K$300,0)),"")</f>
        <v>RAGUED  Rabie</v>
      </c>
    </row>
    <row r="104" spans="4:12" ht="16.5" thickTop="1" thickBot="1" x14ac:dyDescent="0.3">
      <c r="D104" s="16" t="s">
        <v>225</v>
      </c>
      <c r="E104" s="1" t="s">
        <v>226</v>
      </c>
      <c r="F104" s="1" t="s">
        <v>3</v>
      </c>
      <c r="G104" s="1" t="s">
        <v>144</v>
      </c>
      <c r="H104" s="1" t="s">
        <v>5</v>
      </c>
      <c r="J104" s="1">
        <f t="array" ref="J104">--ISNUMBER(IFERROR(SEARCH(Synthése!$E$3,D104,1),""))</f>
        <v>1</v>
      </c>
      <c r="K104" s="1">
        <f>IF(J104=1,COUNTIF($J$3:J104,1),"")</f>
        <v>102</v>
      </c>
      <c r="L104" s="1" t="str">
        <f t="array" ref="L104">IFERROR(INDEX($D$3:$D$300,MATCH(ROWS($K$3:K104),$K$3:$K$300,0)),"")</f>
        <v>FOULLANI  Imane</v>
      </c>
    </row>
    <row r="105" spans="4:12" ht="16.5" thickTop="1" thickBot="1" x14ac:dyDescent="0.3">
      <c r="D105" s="16" t="s">
        <v>227</v>
      </c>
      <c r="E105" s="1" t="s">
        <v>228</v>
      </c>
      <c r="F105" s="1" t="s">
        <v>3</v>
      </c>
      <c r="G105" s="1" t="s">
        <v>144</v>
      </c>
      <c r="H105" s="1" t="s">
        <v>5</v>
      </c>
      <c r="J105" s="1">
        <f t="array" ref="J105">--ISNUMBER(IFERROR(SEARCH(Synthése!$E$3,D105,1),""))</f>
        <v>1</v>
      </c>
      <c r="K105" s="1">
        <f>IF(J105=1,COUNTIF($J$3:J105,1),"")</f>
        <v>103</v>
      </c>
      <c r="L105" s="1" t="str">
        <f t="array" ref="L105">IFERROR(INDEX($D$3:$D$300,MATCH(ROWS($K$3:K105),$K$3:$K$300,0)),"")</f>
        <v>AJJOUTI  Adham</v>
      </c>
    </row>
    <row r="106" spans="4:12" ht="16.5" thickTop="1" thickBot="1" x14ac:dyDescent="0.3">
      <c r="D106" s="16" t="s">
        <v>229</v>
      </c>
      <c r="E106" s="1" t="s">
        <v>230</v>
      </c>
      <c r="F106" s="1" t="s">
        <v>184</v>
      </c>
      <c r="G106" s="1" t="s">
        <v>144</v>
      </c>
      <c r="H106" s="1" t="s">
        <v>5</v>
      </c>
      <c r="J106" s="1">
        <f t="array" ref="J106">--ISNUMBER(IFERROR(SEARCH(Synthése!$E$3,D106,1),""))</f>
        <v>1</v>
      </c>
      <c r="K106" s="1">
        <f>IF(J106=1,COUNTIF($J$3:J106,1),"")</f>
        <v>104</v>
      </c>
      <c r="L106" s="1" t="str">
        <f t="array" ref="L106">IFERROR(INDEX($D$3:$D$300,MATCH(ROWS($K$3:K106),$K$3:$K$300,0)),"")</f>
        <v>LAMZIBRI  Rita</v>
      </c>
    </row>
    <row r="107" spans="4:12" ht="16.5" thickTop="1" thickBot="1" x14ac:dyDescent="0.3">
      <c r="D107" s="16" t="s">
        <v>231</v>
      </c>
      <c r="E107" s="1" t="s">
        <v>232</v>
      </c>
      <c r="F107" s="1" t="s">
        <v>184</v>
      </c>
      <c r="G107" s="1" t="s">
        <v>144</v>
      </c>
      <c r="H107" s="1" t="s">
        <v>5</v>
      </c>
      <c r="J107" s="1">
        <f t="array" ref="J107">--ISNUMBER(IFERROR(SEARCH(Synthése!$E$3,D107,1),""))</f>
        <v>1</v>
      </c>
      <c r="K107" s="1">
        <f>IF(J107=1,COUNTIF($J$3:J107,1),"")</f>
        <v>105</v>
      </c>
      <c r="L107" s="1" t="str">
        <f t="array" ref="L107">IFERROR(INDEX($D$3:$D$300,MATCH(ROWS($K$3:K107),$K$3:$K$300,0)),"")</f>
        <v>MAALLEM  Toufik</v>
      </c>
    </row>
    <row r="108" spans="4:12" ht="16.5" thickTop="1" thickBot="1" x14ac:dyDescent="0.3">
      <c r="D108" s="16" t="s">
        <v>233</v>
      </c>
      <c r="E108" s="1" t="s">
        <v>234</v>
      </c>
      <c r="F108" s="1" t="s">
        <v>143</v>
      </c>
      <c r="G108" s="1" t="s">
        <v>144</v>
      </c>
      <c r="H108" s="1" t="s">
        <v>5</v>
      </c>
      <c r="J108" s="1">
        <f t="array" ref="J108">--ISNUMBER(IFERROR(SEARCH(Synthése!$E$3,D108,1),""))</f>
        <v>1</v>
      </c>
      <c r="K108" s="1">
        <f>IF(J108=1,COUNTIF($J$3:J108,1),"")</f>
        <v>106</v>
      </c>
      <c r="L108" s="1" t="str">
        <f t="array" ref="L108">IFERROR(INDEX($D$3:$D$300,MATCH(ROWS($K$3:K108),$K$3:$K$300,0)),"")</f>
        <v>CHERIF HAOUATE  Mohamed</v>
      </c>
    </row>
    <row r="109" spans="4:12" ht="16.5" thickTop="1" thickBot="1" x14ac:dyDescent="0.3">
      <c r="D109" s="16" t="s">
        <v>235</v>
      </c>
      <c r="E109" s="1" t="s">
        <v>236</v>
      </c>
      <c r="F109" s="1" t="s">
        <v>237</v>
      </c>
      <c r="G109" s="1" t="s">
        <v>238</v>
      </c>
      <c r="H109" s="1" t="s">
        <v>239</v>
      </c>
      <c r="J109" s="1">
        <f t="array" ref="J109">--ISNUMBER(IFERROR(SEARCH(Synthése!$E$3,D109,1),""))</f>
        <v>1</v>
      </c>
      <c r="K109" s="1">
        <f>IF(J109=1,COUNTIF($J$3:J109,1),"")</f>
        <v>107</v>
      </c>
      <c r="L109" s="1" t="str">
        <f t="array" ref="L109">IFERROR(INDEX($D$3:$D$300,MATCH(ROWS($K$3:K109),$K$3:$K$300,0)),"")</f>
        <v>SARRHINI MOUTEA  Meyriame</v>
      </c>
    </row>
    <row r="110" spans="4:12" ht="16.5" thickTop="1" thickBot="1" x14ac:dyDescent="0.3">
      <c r="D110" s="16" t="s">
        <v>240</v>
      </c>
      <c r="E110" s="1" t="s">
        <v>241</v>
      </c>
      <c r="F110" s="1" t="s">
        <v>237</v>
      </c>
      <c r="G110" s="1" t="s">
        <v>238</v>
      </c>
      <c r="H110" s="1" t="s">
        <v>239</v>
      </c>
      <c r="J110" s="1">
        <f t="array" ref="J110">--ISNUMBER(IFERROR(SEARCH(Synthése!$E$3,D110,1),""))</f>
        <v>1</v>
      </c>
      <c r="K110" s="1">
        <f>IF(J110=1,COUNTIF($J$3:J110,1),"")</f>
        <v>108</v>
      </c>
      <c r="L110" s="1" t="str">
        <f t="array" ref="L110">IFERROR(INDEX($D$3:$D$300,MATCH(ROWS($K$3:K110),$K$3:$K$300,0)),"")</f>
        <v>SABILLAH  Meryem</v>
      </c>
    </row>
    <row r="111" spans="4:12" ht="16.5" thickTop="1" thickBot="1" x14ac:dyDescent="0.3">
      <c r="D111" s="16" t="s">
        <v>242</v>
      </c>
      <c r="E111" s="1" t="s">
        <v>243</v>
      </c>
      <c r="F111" s="1" t="s">
        <v>237</v>
      </c>
      <c r="G111" s="1" t="s">
        <v>238</v>
      </c>
      <c r="H111" s="1" t="s">
        <v>239</v>
      </c>
      <c r="J111" s="1">
        <f t="array" ref="J111">--ISNUMBER(IFERROR(SEARCH(Synthése!$E$3,D111,1),""))</f>
        <v>1</v>
      </c>
      <c r="K111" s="1">
        <f>IF(J111=1,COUNTIF($J$3:J111,1),"")</f>
        <v>109</v>
      </c>
      <c r="L111" s="1" t="str">
        <f t="array" ref="L111">IFERROR(INDEX($D$3:$D$300,MATCH(ROWS($K$3:K111),$K$3:$K$300,0)),"")</f>
        <v>ZERHOUNI  Imane</v>
      </c>
    </row>
    <row r="112" spans="4:12" ht="16.5" thickTop="1" thickBot="1" x14ac:dyDescent="0.3">
      <c r="D112" s="16" t="s">
        <v>244</v>
      </c>
      <c r="E112" s="1" t="s">
        <v>245</v>
      </c>
      <c r="F112" s="1" t="s">
        <v>237</v>
      </c>
      <c r="G112" s="1" t="s">
        <v>238</v>
      </c>
      <c r="H112" s="1" t="s">
        <v>239</v>
      </c>
      <c r="J112" s="1">
        <f t="array" ref="J112">--ISNUMBER(IFERROR(SEARCH(Synthése!$E$3,D112,1),""))</f>
        <v>1</v>
      </c>
      <c r="K112" s="1">
        <f>IF(J112=1,COUNTIF($J$3:J112,1),"")</f>
        <v>110</v>
      </c>
      <c r="L112" s="1" t="str">
        <f t="array" ref="L112">IFERROR(INDEX($D$3:$D$300,MATCH(ROWS($K$3:K112),$K$3:$K$300,0)),"")</f>
        <v>RAIS  Sarah</v>
      </c>
    </row>
    <row r="113" spans="4:12" ht="16.5" thickTop="1" thickBot="1" x14ac:dyDescent="0.3">
      <c r="D113" s="16" t="s">
        <v>246</v>
      </c>
      <c r="E113" s="1" t="s">
        <v>247</v>
      </c>
      <c r="F113" s="1" t="s">
        <v>237</v>
      </c>
      <c r="G113" s="1" t="s">
        <v>238</v>
      </c>
      <c r="H113" s="1" t="s">
        <v>239</v>
      </c>
      <c r="J113" s="1">
        <f t="array" ref="J113">--ISNUMBER(IFERROR(SEARCH(Synthése!$E$3,D113,1),""))</f>
        <v>1</v>
      </c>
      <c r="K113" s="1">
        <f>IF(J113=1,COUNTIF($J$3:J113,1),"")</f>
        <v>111</v>
      </c>
      <c r="L113" s="1" t="str">
        <f t="array" ref="L113">IFERROR(INDEX($D$3:$D$300,MATCH(ROWS($K$3:K113),$K$3:$K$300,0)),"")</f>
        <v>HLOUTA  Fatima Zohra</v>
      </c>
    </row>
    <row r="114" spans="4:12" ht="16.5" thickTop="1" thickBot="1" x14ac:dyDescent="0.3">
      <c r="D114" s="16" t="s">
        <v>248</v>
      </c>
      <c r="E114" s="1" t="s">
        <v>249</v>
      </c>
      <c r="F114" s="1" t="s">
        <v>237</v>
      </c>
      <c r="G114" s="1" t="s">
        <v>238</v>
      </c>
      <c r="H114" s="1" t="s">
        <v>239</v>
      </c>
      <c r="J114" s="1">
        <f t="array" ref="J114">--ISNUMBER(IFERROR(SEARCH(Synthése!$E$3,D114,1),""))</f>
        <v>1</v>
      </c>
      <c r="K114" s="1">
        <f>IF(J114=1,COUNTIF($J$3:J114,1),"")</f>
        <v>112</v>
      </c>
      <c r="L114" s="1" t="str">
        <f t="array" ref="L114">IFERROR(INDEX($D$3:$D$300,MATCH(ROWS($K$3:K114),$K$3:$K$300,0)),"")</f>
        <v>JBARA  Hadir</v>
      </c>
    </row>
    <row r="115" spans="4:12" ht="16.5" thickTop="1" thickBot="1" x14ac:dyDescent="0.3">
      <c r="D115" s="16" t="s">
        <v>250</v>
      </c>
      <c r="E115" s="1" t="s">
        <v>251</v>
      </c>
      <c r="F115" s="1" t="s">
        <v>237</v>
      </c>
      <c r="G115" s="1" t="s">
        <v>238</v>
      </c>
      <c r="H115" s="1" t="s">
        <v>239</v>
      </c>
      <c r="J115" s="1">
        <f t="array" ref="J115">--ISNUMBER(IFERROR(SEARCH(Synthése!$E$3,D115,1),""))</f>
        <v>1</v>
      </c>
      <c r="K115" s="1">
        <f>IF(J115=1,COUNTIF($J$3:J115,1),"")</f>
        <v>113</v>
      </c>
      <c r="L115" s="1" t="str">
        <f t="array" ref="L115">IFERROR(INDEX($D$3:$D$300,MATCH(ROWS($K$3:K115),$K$3:$K$300,0)),"")</f>
        <v>SOUR  Soufiane</v>
      </c>
    </row>
    <row r="116" spans="4:12" ht="16.5" thickTop="1" thickBot="1" x14ac:dyDescent="0.3">
      <c r="D116" s="16" t="s">
        <v>252</v>
      </c>
      <c r="E116" s="1" t="s">
        <v>253</v>
      </c>
      <c r="F116" s="1" t="s">
        <v>237</v>
      </c>
      <c r="G116" s="1" t="s">
        <v>238</v>
      </c>
      <c r="H116" s="1" t="s">
        <v>239</v>
      </c>
      <c r="J116" s="1">
        <f t="array" ref="J116">--ISNUMBER(IFERROR(SEARCH(Synthése!$E$3,D116,1),""))</f>
        <v>1</v>
      </c>
      <c r="K116" s="1">
        <f>IF(J116=1,COUNTIF($J$3:J116,1),"")</f>
        <v>114</v>
      </c>
      <c r="L116" s="1" t="str">
        <f t="array" ref="L116">IFERROR(INDEX($D$3:$D$300,MATCH(ROWS($K$3:K116),$K$3:$K$300,0)),"")</f>
        <v>TAHIRI  Salah eddine</v>
      </c>
    </row>
    <row r="117" spans="4:12" ht="16.5" thickTop="1" thickBot="1" x14ac:dyDescent="0.3">
      <c r="D117" s="16" t="s">
        <v>254</v>
      </c>
      <c r="E117" s="1" t="s">
        <v>255</v>
      </c>
      <c r="F117" s="1" t="s">
        <v>237</v>
      </c>
      <c r="G117" s="1" t="s">
        <v>238</v>
      </c>
      <c r="H117" s="1" t="s">
        <v>239</v>
      </c>
      <c r="J117" s="1">
        <f t="array" ref="J117">--ISNUMBER(IFERROR(SEARCH(Synthése!$E$3,D117,1),""))</f>
        <v>1</v>
      </c>
      <c r="K117" s="1">
        <f>IF(J117=1,COUNTIF($J$3:J117,1),"")</f>
        <v>115</v>
      </c>
      <c r="L117" s="1" t="str">
        <f t="array" ref="L117">IFERROR(INDEX($D$3:$D$300,MATCH(ROWS($K$3:K117),$K$3:$K$300,0)),"")</f>
        <v>EL HAJJI  NAWAL</v>
      </c>
    </row>
    <row r="118" spans="4:12" ht="16.5" thickTop="1" thickBot="1" x14ac:dyDescent="0.3">
      <c r="D118" s="16" t="s">
        <v>256</v>
      </c>
      <c r="E118" s="1" t="s">
        <v>257</v>
      </c>
      <c r="F118" s="1" t="s">
        <v>237</v>
      </c>
      <c r="G118" s="1" t="s">
        <v>238</v>
      </c>
      <c r="H118" s="1" t="s">
        <v>239</v>
      </c>
      <c r="J118" s="1">
        <f t="array" ref="J118">--ISNUMBER(IFERROR(SEARCH(Synthése!$E$3,D118,1),""))</f>
        <v>1</v>
      </c>
      <c r="K118" s="1">
        <f>IF(J118=1,COUNTIF($J$3:J118,1),"")</f>
        <v>116</v>
      </c>
      <c r="L118" s="1" t="str">
        <f t="array" ref="L118">IFERROR(INDEX($D$3:$D$300,MATCH(ROWS($K$3:K118),$K$3:$K$300,0)),"")</f>
        <v>AZBROUY  Fatima</v>
      </c>
    </row>
    <row r="119" spans="4:12" ht="16.5" thickTop="1" thickBot="1" x14ac:dyDescent="0.3">
      <c r="D119" s="16" t="s">
        <v>258</v>
      </c>
      <c r="E119" s="1" t="s">
        <v>259</v>
      </c>
      <c r="F119" s="1" t="s">
        <v>237</v>
      </c>
      <c r="G119" s="1" t="s">
        <v>238</v>
      </c>
      <c r="H119" s="1" t="s">
        <v>239</v>
      </c>
      <c r="J119" s="1">
        <f t="array" ref="J119">--ISNUMBER(IFERROR(SEARCH(Synthése!$E$3,D119,1),""))</f>
        <v>1</v>
      </c>
      <c r="K119" s="1">
        <f>IF(J119=1,COUNTIF($J$3:J119,1),"")</f>
        <v>117</v>
      </c>
      <c r="L119" s="1" t="str">
        <f t="array" ref="L119">IFERROR(INDEX($D$3:$D$300,MATCH(ROWS($K$3:K119),$K$3:$K$300,0)),"")</f>
        <v>CHAHID  Loubna</v>
      </c>
    </row>
    <row r="120" spans="4:12" ht="16.5" thickTop="1" thickBot="1" x14ac:dyDescent="0.3">
      <c r="D120" s="16" t="s">
        <v>260</v>
      </c>
      <c r="E120" s="1" t="s">
        <v>261</v>
      </c>
      <c r="F120" s="1" t="s">
        <v>237</v>
      </c>
      <c r="G120" s="1" t="s">
        <v>238</v>
      </c>
      <c r="H120" s="1" t="s">
        <v>239</v>
      </c>
      <c r="J120" s="1">
        <f t="array" ref="J120">--ISNUMBER(IFERROR(SEARCH(Synthése!$E$3,D120,1),""))</f>
        <v>1</v>
      </c>
      <c r="K120" s="1">
        <f>IF(J120=1,COUNTIF($J$3:J120,1),"")</f>
        <v>118</v>
      </c>
      <c r="L120" s="1" t="str">
        <f t="array" ref="L120">IFERROR(INDEX($D$3:$D$300,MATCH(ROWS($K$3:K120),$K$3:$K$300,0)),"")</f>
        <v>NAIT OUHAMMOU  ILHAME</v>
      </c>
    </row>
    <row r="121" spans="4:12" ht="16.5" thickTop="1" thickBot="1" x14ac:dyDescent="0.3">
      <c r="D121" s="16" t="s">
        <v>262</v>
      </c>
      <c r="E121" s="1" t="s">
        <v>263</v>
      </c>
      <c r="F121" s="1" t="s">
        <v>237</v>
      </c>
      <c r="G121" s="1" t="s">
        <v>238</v>
      </c>
      <c r="H121" s="1" t="s">
        <v>239</v>
      </c>
      <c r="J121" s="1">
        <f t="array" ref="J121">--ISNUMBER(IFERROR(SEARCH(Synthése!$E$3,D121,1),""))</f>
        <v>1</v>
      </c>
      <c r="K121" s="1">
        <f>IF(J121=1,COUNTIF($J$3:J121,1),"")</f>
        <v>119</v>
      </c>
      <c r="L121" s="1" t="str">
        <f t="array" ref="L121">IFERROR(INDEX($D$3:$D$300,MATCH(ROWS($K$3:K121),$K$3:$K$300,0)),"")</f>
        <v>MAAZOUZ  Sara</v>
      </c>
    </row>
    <row r="122" spans="4:12" ht="16.5" thickTop="1" thickBot="1" x14ac:dyDescent="0.3">
      <c r="D122" s="16" t="s">
        <v>264</v>
      </c>
      <c r="E122" s="1" t="s">
        <v>265</v>
      </c>
      <c r="F122" s="1" t="s">
        <v>266</v>
      </c>
      <c r="G122" s="1" t="s">
        <v>238</v>
      </c>
      <c r="H122" s="1" t="s">
        <v>239</v>
      </c>
      <c r="J122" s="1">
        <f t="array" ref="J122">--ISNUMBER(IFERROR(SEARCH(Synthése!$E$3,D122,1),""))</f>
        <v>1</v>
      </c>
      <c r="K122" s="1">
        <f>IF(J122=1,COUNTIF($J$3:J122,1),"")</f>
        <v>120</v>
      </c>
      <c r="L122" s="1" t="str">
        <f t="array" ref="L122">IFERROR(INDEX($D$3:$D$300,MATCH(ROWS($K$3:K122),$K$3:$K$300,0)),"")</f>
        <v>AIT-LAZRAG  SALMA</v>
      </c>
    </row>
    <row r="123" spans="4:12" ht="16.5" thickTop="1" thickBot="1" x14ac:dyDescent="0.3">
      <c r="D123" s="16" t="s">
        <v>267</v>
      </c>
      <c r="E123" s="1" t="s">
        <v>268</v>
      </c>
      <c r="F123" s="1" t="s">
        <v>266</v>
      </c>
      <c r="G123" s="1" t="s">
        <v>238</v>
      </c>
      <c r="H123" s="1" t="s">
        <v>239</v>
      </c>
      <c r="J123" s="1">
        <f t="array" ref="J123">--ISNUMBER(IFERROR(SEARCH(Synthése!$E$3,D123,1),""))</f>
        <v>1</v>
      </c>
      <c r="K123" s="1">
        <f>IF(J123=1,COUNTIF($J$3:J123,1),"")</f>
        <v>121</v>
      </c>
      <c r="L123" s="1" t="str">
        <f t="array" ref="L123">IFERROR(INDEX($D$3:$D$300,MATCH(ROWS($K$3:K123),$K$3:$K$300,0)),"")</f>
        <v>SABIR  Asmaa</v>
      </c>
    </row>
    <row r="124" spans="4:12" ht="16.5" thickTop="1" thickBot="1" x14ac:dyDescent="0.3">
      <c r="D124" s="16" t="s">
        <v>269</v>
      </c>
      <c r="E124" s="1" t="s">
        <v>270</v>
      </c>
      <c r="F124" s="1" t="s">
        <v>266</v>
      </c>
      <c r="G124" s="1" t="s">
        <v>238</v>
      </c>
      <c r="H124" s="1" t="s">
        <v>239</v>
      </c>
      <c r="J124" s="1">
        <f t="array" ref="J124">--ISNUMBER(IFERROR(SEARCH(Synthése!$E$3,D124,1),""))</f>
        <v>1</v>
      </c>
      <c r="K124" s="1">
        <f>IF(J124=1,COUNTIF($J$3:J124,1),"")</f>
        <v>122</v>
      </c>
      <c r="L124" s="1" t="str">
        <f t="array" ref="L124">IFERROR(INDEX($D$3:$D$300,MATCH(ROWS($K$3:K124),$K$3:$K$300,0)),"")</f>
        <v>CBIDA  Ayoub</v>
      </c>
    </row>
    <row r="125" spans="4:12" ht="16.5" thickTop="1" thickBot="1" x14ac:dyDescent="0.3">
      <c r="D125" s="16" t="s">
        <v>271</v>
      </c>
      <c r="E125" s="1" t="s">
        <v>272</v>
      </c>
      <c r="F125" s="1" t="s">
        <v>266</v>
      </c>
      <c r="G125" s="1" t="s">
        <v>238</v>
      </c>
      <c r="H125" s="1" t="s">
        <v>239</v>
      </c>
      <c r="J125" s="1">
        <f t="array" ref="J125">--ISNUMBER(IFERROR(SEARCH(Synthése!$E$3,D125,1),""))</f>
        <v>1</v>
      </c>
      <c r="K125" s="1">
        <f>IF(J125=1,COUNTIF($J$3:J125,1),"")</f>
        <v>123</v>
      </c>
      <c r="L125" s="1" t="str">
        <f t="array" ref="L125">IFERROR(INDEX($D$3:$D$300,MATCH(ROWS($K$3:K125),$K$3:$K$300,0)),"")</f>
        <v>KRIAM  Zouhair</v>
      </c>
    </row>
    <row r="126" spans="4:12" ht="16.5" thickTop="1" thickBot="1" x14ac:dyDescent="0.3">
      <c r="D126" s="16" t="s">
        <v>273</v>
      </c>
      <c r="E126" s="1" t="s">
        <v>274</v>
      </c>
      <c r="F126" s="1" t="s">
        <v>266</v>
      </c>
      <c r="G126" s="1" t="s">
        <v>238</v>
      </c>
      <c r="H126" s="1" t="s">
        <v>239</v>
      </c>
      <c r="J126" s="1">
        <f t="array" ref="J126">--ISNUMBER(IFERROR(SEARCH(Synthése!$E$3,D126,1),""))</f>
        <v>1</v>
      </c>
      <c r="K126" s="1">
        <f>IF(J126=1,COUNTIF($J$3:J126,1),"")</f>
        <v>124</v>
      </c>
      <c r="L126" s="1" t="str">
        <f t="array" ref="L126">IFERROR(INDEX($D$3:$D$300,MATCH(ROWS($K$3:K126),$K$3:$K$300,0)),"")</f>
        <v>ELMOUKOUAM  Hatim</v>
      </c>
    </row>
    <row r="127" spans="4:12" ht="16.5" thickTop="1" thickBot="1" x14ac:dyDescent="0.3">
      <c r="D127" s="16" t="s">
        <v>275</v>
      </c>
      <c r="E127" s="1" t="s">
        <v>276</v>
      </c>
      <c r="F127" s="1" t="s">
        <v>266</v>
      </c>
      <c r="G127" s="1" t="s">
        <v>238</v>
      </c>
      <c r="H127" s="1" t="s">
        <v>239</v>
      </c>
      <c r="J127" s="1">
        <f t="array" ref="J127">--ISNUMBER(IFERROR(SEARCH(Synthése!$E$3,D127,1),""))</f>
        <v>1</v>
      </c>
      <c r="K127" s="1">
        <f>IF(J127=1,COUNTIF($J$3:J127,1),"")</f>
        <v>125</v>
      </c>
      <c r="L127" s="1" t="str">
        <f t="array" ref="L127">IFERROR(INDEX($D$3:$D$300,MATCH(ROWS($K$3:K127),$K$3:$K$300,0)),"")</f>
        <v>RERHRHAYE  Maryam</v>
      </c>
    </row>
    <row r="128" spans="4:12" ht="16.5" thickTop="1" thickBot="1" x14ac:dyDescent="0.3">
      <c r="D128" s="16" t="s">
        <v>277</v>
      </c>
      <c r="E128" s="1" t="s">
        <v>278</v>
      </c>
      <c r="F128" s="1" t="s">
        <v>266</v>
      </c>
      <c r="G128" s="1" t="s">
        <v>238</v>
      </c>
      <c r="H128" s="1" t="s">
        <v>239</v>
      </c>
      <c r="J128" s="1">
        <f t="array" ref="J128">--ISNUMBER(IFERROR(SEARCH(Synthése!$E$3,D128,1),""))</f>
        <v>1</v>
      </c>
      <c r="K128" s="1">
        <f>IF(J128=1,COUNTIF($J$3:J128,1),"")</f>
        <v>126</v>
      </c>
      <c r="L128" s="1" t="str">
        <f t="array" ref="L128">IFERROR(INDEX($D$3:$D$300,MATCH(ROWS($K$3:K128),$K$3:$K$300,0)),"")</f>
        <v>HMAMI  Faisal</v>
      </c>
    </row>
    <row r="129" spans="4:12" ht="16.5" thickTop="1" thickBot="1" x14ac:dyDescent="0.3">
      <c r="D129" s="16" t="s">
        <v>279</v>
      </c>
      <c r="E129" s="1" t="s">
        <v>280</v>
      </c>
      <c r="F129" s="1" t="s">
        <v>266</v>
      </c>
      <c r="G129" s="1" t="s">
        <v>238</v>
      </c>
      <c r="H129" s="1" t="s">
        <v>239</v>
      </c>
      <c r="J129" s="1">
        <f t="array" ref="J129">--ISNUMBER(IFERROR(SEARCH(Synthése!$E$3,D129,1),""))</f>
        <v>1</v>
      </c>
      <c r="K129" s="1">
        <f>IF(J129=1,COUNTIF($J$3:J129,1),"")</f>
        <v>127</v>
      </c>
      <c r="L129" s="1" t="str">
        <f t="array" ref="L129">IFERROR(INDEX($D$3:$D$300,MATCH(ROWS($K$3:K129),$K$3:$K$300,0)),"")</f>
        <v>EL HILALI  Aymane</v>
      </c>
    </row>
    <row r="130" spans="4:12" ht="16.5" thickTop="1" thickBot="1" x14ac:dyDescent="0.3">
      <c r="D130" s="16" t="s">
        <v>281</v>
      </c>
      <c r="E130" s="1" t="s">
        <v>282</v>
      </c>
      <c r="F130" s="1" t="s">
        <v>266</v>
      </c>
      <c r="G130" s="1" t="s">
        <v>238</v>
      </c>
      <c r="H130" s="1" t="s">
        <v>239</v>
      </c>
      <c r="J130" s="1">
        <f t="array" ref="J130">--ISNUMBER(IFERROR(SEARCH(Synthése!$E$3,D130,1),""))</f>
        <v>1</v>
      </c>
      <c r="K130" s="1">
        <f>IF(J130=1,COUNTIF($J$3:J130,1),"")</f>
        <v>128</v>
      </c>
      <c r="L130" s="1" t="str">
        <f t="array" ref="L130">IFERROR(INDEX($D$3:$D$300,MATCH(ROWS($K$3:K130),$K$3:$K$300,0)),"")</f>
        <v>SALIF  Hamza</v>
      </c>
    </row>
    <row r="131" spans="4:12" ht="16.5" thickTop="1" thickBot="1" x14ac:dyDescent="0.3">
      <c r="D131" s="16" t="s">
        <v>283</v>
      </c>
      <c r="E131" s="1" t="s">
        <v>284</v>
      </c>
      <c r="F131" s="1" t="s">
        <v>285</v>
      </c>
      <c r="G131" s="1" t="s">
        <v>238</v>
      </c>
      <c r="H131" s="1" t="s">
        <v>239</v>
      </c>
      <c r="J131" s="1">
        <f t="array" ref="J131">--ISNUMBER(IFERROR(SEARCH(Synthése!$E$3,D131,1),""))</f>
        <v>1</v>
      </c>
      <c r="K131" s="1">
        <f>IF(J131=1,COUNTIF($J$3:J131,1),"")</f>
        <v>129</v>
      </c>
      <c r="L131" s="1" t="str">
        <f t="array" ref="L131">IFERROR(INDEX($D$3:$D$300,MATCH(ROWS($K$3:K131),$K$3:$K$300,0)),"")</f>
        <v>DIOURI  Meriem</v>
      </c>
    </row>
    <row r="132" spans="4:12" ht="16.5" thickTop="1" thickBot="1" x14ac:dyDescent="0.3">
      <c r="D132" s="16" t="s">
        <v>286</v>
      </c>
      <c r="E132" s="1" t="s">
        <v>287</v>
      </c>
      <c r="F132" s="1" t="s">
        <v>285</v>
      </c>
      <c r="G132" s="1" t="s">
        <v>238</v>
      </c>
      <c r="H132" s="1" t="s">
        <v>239</v>
      </c>
      <c r="J132" s="1">
        <f t="array" ref="J132">--ISNUMBER(IFERROR(SEARCH(Synthése!$E$3,D132,1),""))</f>
        <v>1</v>
      </c>
      <c r="K132" s="1">
        <f>IF(J132=1,COUNTIF($J$3:J132,1),"")</f>
        <v>130</v>
      </c>
      <c r="L132" s="1" t="str">
        <f t="array" ref="L132">IFERROR(INDEX($D$3:$D$300,MATCH(ROWS($K$3:K132),$K$3:$K$300,0)),"")</f>
        <v>ALLITI  Rachid</v>
      </c>
    </row>
    <row r="133" spans="4:12" ht="16.5" thickTop="1" thickBot="1" x14ac:dyDescent="0.3">
      <c r="D133" s="16" t="s">
        <v>288</v>
      </c>
      <c r="E133" s="1" t="s">
        <v>289</v>
      </c>
      <c r="F133" s="1" t="s">
        <v>285</v>
      </c>
      <c r="G133" s="1" t="s">
        <v>238</v>
      </c>
      <c r="H133" s="1" t="s">
        <v>239</v>
      </c>
      <c r="J133" s="1">
        <f t="array" ref="J133">--ISNUMBER(IFERROR(SEARCH(Synthése!$E$3,D133,1),""))</f>
        <v>1</v>
      </c>
      <c r="K133" s="1">
        <f>IF(J133=1,COUNTIF($J$3:J133,1),"")</f>
        <v>131</v>
      </c>
      <c r="L133" s="1" t="str">
        <f t="array" ref="L133">IFERROR(INDEX($D$3:$D$300,MATCH(ROWS($K$3:K133),$K$3:$K$300,0)),"")</f>
        <v>LIMAME  Douaa</v>
      </c>
    </row>
    <row r="134" spans="4:12" ht="16.5" thickTop="1" thickBot="1" x14ac:dyDescent="0.3">
      <c r="D134" s="16" t="s">
        <v>290</v>
      </c>
      <c r="E134" s="1" t="s">
        <v>291</v>
      </c>
      <c r="F134" s="1" t="s">
        <v>285</v>
      </c>
      <c r="G134" s="1" t="s">
        <v>238</v>
      </c>
      <c r="H134" s="1" t="s">
        <v>239</v>
      </c>
      <c r="J134" s="1">
        <f t="array" ref="J134">--ISNUMBER(IFERROR(SEARCH(Synthése!$E$3,D134,1),""))</f>
        <v>1</v>
      </c>
      <c r="K134" s="1">
        <f>IF(J134=1,COUNTIF($J$3:J134,1),"")</f>
        <v>132</v>
      </c>
      <c r="L134" s="1" t="str">
        <f t="array" ref="L134">IFERROR(INDEX($D$3:$D$300,MATCH(ROWS($K$3:K134),$K$3:$K$300,0)),"")</f>
        <v>BELAANAYA  Samah</v>
      </c>
    </row>
    <row r="135" spans="4:12" ht="16.5" thickTop="1" thickBot="1" x14ac:dyDescent="0.3">
      <c r="D135" s="16" t="s">
        <v>292</v>
      </c>
      <c r="E135" s="1" t="s">
        <v>293</v>
      </c>
      <c r="F135" s="1" t="s">
        <v>285</v>
      </c>
      <c r="G135" s="1" t="s">
        <v>238</v>
      </c>
      <c r="H135" s="1" t="s">
        <v>239</v>
      </c>
      <c r="J135" s="1">
        <f t="array" ref="J135">--ISNUMBER(IFERROR(SEARCH(Synthése!$E$3,D135,1),""))</f>
        <v>1</v>
      </c>
      <c r="K135" s="1">
        <f>IF(J135=1,COUNTIF($J$3:J135,1),"")</f>
        <v>133</v>
      </c>
      <c r="L135" s="1" t="str">
        <f t="array" ref="L135">IFERROR(INDEX($D$3:$D$300,MATCH(ROWS($K$3:K135),$K$3:$K$300,0)),"")</f>
        <v>ZOUAZOU  Manal</v>
      </c>
    </row>
    <row r="136" spans="4:12" ht="16.5" thickTop="1" thickBot="1" x14ac:dyDescent="0.3">
      <c r="D136" s="16" t="s">
        <v>294</v>
      </c>
      <c r="E136" s="1" t="s">
        <v>295</v>
      </c>
      <c r="F136" s="1" t="s">
        <v>285</v>
      </c>
      <c r="G136" s="1" t="s">
        <v>238</v>
      </c>
      <c r="H136" s="1" t="s">
        <v>239</v>
      </c>
      <c r="J136" s="1">
        <f t="array" ref="J136">--ISNUMBER(IFERROR(SEARCH(Synthése!$E$3,D136,1),""))</f>
        <v>1</v>
      </c>
      <c r="K136" s="1">
        <f>IF(J136=1,COUNTIF($J$3:J136,1),"")</f>
        <v>134</v>
      </c>
      <c r="L136" s="1" t="str">
        <f t="array" ref="L136">IFERROR(INDEX($D$3:$D$300,MATCH(ROWS($K$3:K136),$K$3:$K$300,0)),"")</f>
        <v>ZAYANI  Zineb</v>
      </c>
    </row>
    <row r="137" spans="4:12" ht="16.5" thickTop="1" thickBot="1" x14ac:dyDescent="0.3">
      <c r="D137" s="16" t="s">
        <v>296</v>
      </c>
      <c r="E137" s="1" t="s">
        <v>297</v>
      </c>
      <c r="F137" s="1" t="s">
        <v>285</v>
      </c>
      <c r="G137" s="1" t="s">
        <v>238</v>
      </c>
      <c r="H137" s="1" t="s">
        <v>239</v>
      </c>
      <c r="J137" s="1">
        <f t="array" ref="J137">--ISNUMBER(IFERROR(SEARCH(Synthése!$E$3,D137,1),""))</f>
        <v>1</v>
      </c>
      <c r="K137" s="1">
        <f>IF(J137=1,COUNTIF($J$3:J137,1),"")</f>
        <v>135</v>
      </c>
      <c r="L137" s="1" t="str">
        <f t="array" ref="L137">IFERROR(INDEX($D$3:$D$300,MATCH(ROWS($K$3:K137),$K$3:$K$300,0)),"")</f>
        <v>TALHA  Soumia</v>
      </c>
    </row>
    <row r="138" spans="4:12" ht="16.5" thickTop="1" thickBot="1" x14ac:dyDescent="0.3">
      <c r="D138" s="16" t="s">
        <v>298</v>
      </c>
      <c r="E138" s="1" t="s">
        <v>299</v>
      </c>
      <c r="F138" s="1" t="s">
        <v>300</v>
      </c>
      <c r="G138" s="1" t="s">
        <v>238</v>
      </c>
      <c r="H138" s="1" t="s">
        <v>239</v>
      </c>
      <c r="J138" s="1">
        <f t="array" ref="J138">--ISNUMBER(IFERROR(SEARCH(Synthése!$E$3,D138,1),""))</f>
        <v>1</v>
      </c>
      <c r="K138" s="1">
        <f>IF(J138=1,COUNTIF($J$3:J138,1),"")</f>
        <v>136</v>
      </c>
      <c r="L138" s="1" t="str">
        <f t="array" ref="L138">IFERROR(INDEX($D$3:$D$300,MATCH(ROWS($K$3:K138),$K$3:$K$300,0)),"")</f>
        <v>HEBAZ  Marouane</v>
      </c>
    </row>
    <row r="139" spans="4:12" ht="16.5" thickTop="1" thickBot="1" x14ac:dyDescent="0.3">
      <c r="D139" s="16" t="s">
        <v>301</v>
      </c>
      <c r="E139" s="1" t="s">
        <v>302</v>
      </c>
      <c r="F139" s="1" t="s">
        <v>300</v>
      </c>
      <c r="G139" s="1" t="s">
        <v>238</v>
      </c>
      <c r="H139" s="1" t="s">
        <v>239</v>
      </c>
      <c r="J139" s="1">
        <f t="array" ref="J139">--ISNUMBER(IFERROR(SEARCH(Synthése!$E$3,D139,1),""))</f>
        <v>1</v>
      </c>
      <c r="K139" s="1">
        <f>IF(J139=1,COUNTIF($J$3:J139,1),"")</f>
        <v>137</v>
      </c>
      <c r="L139" s="1" t="str">
        <f t="array" ref="L139">IFERROR(INDEX($D$3:$D$300,MATCH(ROWS($K$3:K139),$K$3:$K$300,0)),"")</f>
        <v>NDIYAE  Mahamadou Moustapha</v>
      </c>
    </row>
    <row r="140" spans="4:12" ht="16.5" thickTop="1" thickBot="1" x14ac:dyDescent="0.3">
      <c r="D140" s="16" t="s">
        <v>303</v>
      </c>
      <c r="E140" s="1" t="s">
        <v>304</v>
      </c>
      <c r="F140" s="1" t="s">
        <v>300</v>
      </c>
      <c r="G140" s="1" t="s">
        <v>238</v>
      </c>
      <c r="H140" s="1" t="s">
        <v>239</v>
      </c>
      <c r="J140" s="1">
        <f t="array" ref="J140">--ISNUMBER(IFERROR(SEARCH(Synthése!$E$3,D140,1),""))</f>
        <v>1</v>
      </c>
      <c r="K140" s="1">
        <f>IF(J140=1,COUNTIF($J$3:J140,1),"")</f>
        <v>138</v>
      </c>
      <c r="L140" s="1" t="str">
        <f t="array" ref="L140">IFERROR(INDEX($D$3:$D$300,MATCH(ROWS($K$3:K140),$K$3:$K$300,0)),"")</f>
        <v>BENNOUI  Ramzi</v>
      </c>
    </row>
    <row r="141" spans="4:12" ht="16.5" thickTop="1" thickBot="1" x14ac:dyDescent="0.3">
      <c r="D141" s="16" t="s">
        <v>305</v>
      </c>
      <c r="E141" s="1" t="s">
        <v>306</v>
      </c>
      <c r="F141" s="1" t="s">
        <v>300</v>
      </c>
      <c r="G141" s="1" t="s">
        <v>238</v>
      </c>
      <c r="H141" s="1" t="s">
        <v>239</v>
      </c>
      <c r="J141" s="1">
        <f t="array" ref="J141">--ISNUMBER(IFERROR(SEARCH(Synthése!$E$3,D141,1),""))</f>
        <v>1</v>
      </c>
      <c r="K141" s="1">
        <f>IF(J141=1,COUNTIF($J$3:J141,1),"")</f>
        <v>139</v>
      </c>
      <c r="L141" s="1" t="str">
        <f t="array" ref="L141">IFERROR(INDEX($D$3:$D$300,MATCH(ROWS($K$3:K141),$K$3:$K$300,0)),"")</f>
        <v>KHARKHACH  FAYCAL</v>
      </c>
    </row>
    <row r="142" spans="4:12" ht="16.5" thickTop="1" thickBot="1" x14ac:dyDescent="0.3">
      <c r="D142" s="16" t="s">
        <v>307</v>
      </c>
      <c r="E142" s="1" t="s">
        <v>308</v>
      </c>
      <c r="F142" s="1" t="s">
        <v>300</v>
      </c>
      <c r="G142" s="1" t="s">
        <v>238</v>
      </c>
      <c r="H142" s="1" t="s">
        <v>239</v>
      </c>
      <c r="J142" s="1">
        <f t="array" ref="J142">--ISNUMBER(IFERROR(SEARCH(Synthése!$E$3,D142,1),""))</f>
        <v>1</v>
      </c>
      <c r="K142" s="1">
        <f>IF(J142=1,COUNTIF($J$3:J142,1),"")</f>
        <v>140</v>
      </c>
      <c r="L142" s="1" t="str">
        <f t="array" ref="L142">IFERROR(INDEX($D$3:$D$300,MATCH(ROWS($K$3:K142),$K$3:$K$300,0)),"")</f>
        <v>AMER  AMAL</v>
      </c>
    </row>
    <row r="143" spans="4:12" ht="16.5" thickTop="1" thickBot="1" x14ac:dyDescent="0.3">
      <c r="D143" s="16" t="s">
        <v>309</v>
      </c>
      <c r="E143" s="1" t="s">
        <v>310</v>
      </c>
      <c r="F143" s="1" t="s">
        <v>300</v>
      </c>
      <c r="G143" s="1" t="s">
        <v>238</v>
      </c>
      <c r="H143" s="1" t="s">
        <v>239</v>
      </c>
      <c r="J143" s="1">
        <f t="array" ref="J143">--ISNUMBER(IFERROR(SEARCH(Synthése!$E$3,D143,1),""))</f>
        <v>1</v>
      </c>
      <c r="K143" s="1">
        <f>IF(J143=1,COUNTIF($J$3:J143,1),"")</f>
        <v>141</v>
      </c>
      <c r="L143" s="1" t="str">
        <f t="array" ref="L143">IFERROR(INDEX($D$3:$D$300,MATCH(ROWS($K$3:K143),$K$3:$K$300,0)),"")</f>
        <v>FILALI MOUTEI  Mohamed</v>
      </c>
    </row>
    <row r="144" spans="4:12" ht="16.5" thickTop="1" thickBot="1" x14ac:dyDescent="0.3">
      <c r="D144" s="16" t="s">
        <v>311</v>
      </c>
      <c r="E144" s="1" t="s">
        <v>312</v>
      </c>
      <c r="F144" s="1" t="s">
        <v>300</v>
      </c>
      <c r="G144" s="1" t="s">
        <v>238</v>
      </c>
      <c r="H144" s="1" t="s">
        <v>239</v>
      </c>
      <c r="J144" s="1">
        <f t="array" ref="J144">--ISNUMBER(IFERROR(SEARCH(Synthése!$E$3,D144,1),""))</f>
        <v>1</v>
      </c>
      <c r="K144" s="1">
        <f>IF(J144=1,COUNTIF($J$3:J144,1),"")</f>
        <v>142</v>
      </c>
      <c r="L144" s="1" t="str">
        <f t="array" ref="L144">IFERROR(INDEX($D$3:$D$300,MATCH(ROWS($K$3:K144),$K$3:$K$300,0)),"")</f>
        <v>HOUTI  Meriem</v>
      </c>
    </row>
    <row r="145" spans="4:12" ht="16.5" thickTop="1" thickBot="1" x14ac:dyDescent="0.3">
      <c r="D145" s="16" t="s">
        <v>313</v>
      </c>
      <c r="E145" s="1" t="s">
        <v>314</v>
      </c>
      <c r="F145" s="1" t="s">
        <v>300</v>
      </c>
      <c r="G145" s="1" t="s">
        <v>238</v>
      </c>
      <c r="H145" s="1" t="s">
        <v>239</v>
      </c>
      <c r="J145" s="1">
        <f t="array" ref="J145">--ISNUMBER(IFERROR(SEARCH(Synthése!$E$3,D145,1),""))</f>
        <v>1</v>
      </c>
      <c r="K145" s="1">
        <f>IF(J145=1,COUNTIF($J$3:J145,1),"")</f>
        <v>143</v>
      </c>
      <c r="L145" s="1" t="str">
        <f t="array" ref="L145">IFERROR(INDEX($D$3:$D$300,MATCH(ROWS($K$3:K145),$K$3:$K$300,0)),"")</f>
        <v>BENKARROUCH  Khadija</v>
      </c>
    </row>
    <row r="146" spans="4:12" ht="16.5" thickTop="1" thickBot="1" x14ac:dyDescent="0.3">
      <c r="D146" s="16" t="s">
        <v>315</v>
      </c>
      <c r="E146" s="1" t="s">
        <v>316</v>
      </c>
      <c r="F146" s="1" t="s">
        <v>300</v>
      </c>
      <c r="G146" s="1" t="s">
        <v>238</v>
      </c>
      <c r="H146" s="1" t="s">
        <v>239</v>
      </c>
      <c r="J146" s="1">
        <f t="array" ref="J146">--ISNUMBER(IFERROR(SEARCH(Synthése!$E$3,D146,1),""))</f>
        <v>1</v>
      </c>
      <c r="K146" s="1">
        <f>IF(J146=1,COUNTIF($J$3:J146,1),"")</f>
        <v>144</v>
      </c>
      <c r="L146" s="1" t="str">
        <f t="array" ref="L146">IFERROR(INDEX($D$3:$D$300,MATCH(ROWS($K$3:K146),$K$3:$K$300,0)),"")</f>
        <v>BOUSSOUGA  TARIK</v>
      </c>
    </row>
    <row r="147" spans="4:12" ht="16.5" thickTop="1" thickBot="1" x14ac:dyDescent="0.3">
      <c r="D147" s="16" t="s">
        <v>317</v>
      </c>
      <c r="E147" s="1" t="s">
        <v>318</v>
      </c>
      <c r="F147" s="1" t="s">
        <v>300</v>
      </c>
      <c r="G147" s="1" t="s">
        <v>238</v>
      </c>
      <c r="H147" s="1" t="s">
        <v>239</v>
      </c>
      <c r="J147" s="1">
        <f t="array" ref="J147">--ISNUMBER(IFERROR(SEARCH(Synthése!$E$3,D147,1),""))</f>
        <v>1</v>
      </c>
      <c r="K147" s="1">
        <f>IF(J147=1,COUNTIF($J$3:J147,1),"")</f>
        <v>145</v>
      </c>
      <c r="L147" s="1" t="str">
        <f t="array" ref="L147">IFERROR(INDEX($D$3:$D$300,MATCH(ROWS($K$3:K147),$K$3:$K$300,0)),"")</f>
        <v>ATIF  MARYA</v>
      </c>
    </row>
    <row r="148" spans="4:12" ht="16.5" thickTop="1" thickBot="1" x14ac:dyDescent="0.3">
      <c r="D148" s="16" t="s">
        <v>319</v>
      </c>
      <c r="E148" s="1" t="s">
        <v>320</v>
      </c>
      <c r="F148" s="1" t="s">
        <v>300</v>
      </c>
      <c r="G148" s="1" t="s">
        <v>238</v>
      </c>
      <c r="H148" s="1" t="s">
        <v>239</v>
      </c>
      <c r="J148" s="1">
        <f t="array" ref="J148">--ISNUMBER(IFERROR(SEARCH(Synthése!$E$3,D148,1),""))</f>
        <v>1</v>
      </c>
      <c r="K148" s="1">
        <f>IF(J148=1,COUNTIF($J$3:J148,1),"")</f>
        <v>146</v>
      </c>
      <c r="L148" s="1" t="str">
        <f t="array" ref="L148">IFERROR(INDEX($D$3:$D$300,MATCH(ROWS($K$3:K148),$K$3:$K$300,0)),"")</f>
        <v>KHDAIRI  Nouha</v>
      </c>
    </row>
    <row r="149" spans="4:12" ht="16.5" thickTop="1" thickBot="1" x14ac:dyDescent="0.3">
      <c r="D149" s="16" t="s">
        <v>321</v>
      </c>
      <c r="E149" s="1" t="s">
        <v>322</v>
      </c>
      <c r="F149" s="1" t="s">
        <v>300</v>
      </c>
      <c r="G149" s="1" t="s">
        <v>238</v>
      </c>
      <c r="H149" s="1" t="s">
        <v>239</v>
      </c>
      <c r="J149" s="1">
        <f t="array" ref="J149">--ISNUMBER(IFERROR(SEARCH(Synthése!$E$3,D149,1),""))</f>
        <v>1</v>
      </c>
      <c r="K149" s="1">
        <f>IF(J149=1,COUNTIF($J$3:J149,1),"")</f>
        <v>147</v>
      </c>
      <c r="L149" s="1" t="str">
        <f t="array" ref="L149">IFERROR(INDEX($D$3:$D$300,MATCH(ROWS($K$3:K149),$K$3:$K$300,0)),"")</f>
        <v>BERNIA  Mohammed</v>
      </c>
    </row>
    <row r="150" spans="4:12" ht="16.5" thickTop="1" thickBot="1" x14ac:dyDescent="0.3">
      <c r="D150" s="16" t="s">
        <v>323</v>
      </c>
      <c r="E150" s="1" t="s">
        <v>324</v>
      </c>
      <c r="F150" s="1" t="s">
        <v>300</v>
      </c>
      <c r="G150" s="1" t="s">
        <v>238</v>
      </c>
      <c r="H150" s="1" t="s">
        <v>239</v>
      </c>
      <c r="J150" s="1">
        <f t="array" ref="J150">--ISNUMBER(IFERROR(SEARCH(Synthése!$E$3,D150,1),""))</f>
        <v>1</v>
      </c>
      <c r="K150" s="1">
        <f>IF(J150=1,COUNTIF($J$3:J150,1),"")</f>
        <v>148</v>
      </c>
      <c r="L150" s="1" t="str">
        <f t="array" ref="L150">IFERROR(INDEX($D$3:$D$300,MATCH(ROWS($K$3:K150),$K$3:$K$300,0)),"")</f>
        <v>SIDIKI  Fatima-zahra</v>
      </c>
    </row>
    <row r="151" spans="4:12" ht="16.5" thickTop="1" thickBot="1" x14ac:dyDescent="0.3">
      <c r="D151" s="16" t="s">
        <v>325</v>
      </c>
      <c r="E151" s="1" t="s">
        <v>326</v>
      </c>
      <c r="F151" s="1" t="s">
        <v>300</v>
      </c>
      <c r="G151" s="1" t="s">
        <v>238</v>
      </c>
      <c r="H151" s="1" t="s">
        <v>239</v>
      </c>
      <c r="J151" s="1">
        <f t="array" ref="J151">--ISNUMBER(IFERROR(SEARCH(Synthése!$E$3,D151,1),""))</f>
        <v>1</v>
      </c>
      <c r="K151" s="1">
        <f>IF(J151=1,COUNTIF($J$3:J151,1),"")</f>
        <v>149</v>
      </c>
      <c r="L151" s="1" t="str">
        <f t="array" ref="L151">IFERROR(INDEX($D$3:$D$300,MATCH(ROWS($K$3:K151),$K$3:$K$300,0)),"")</f>
        <v>CHIHANI  Mohammed</v>
      </c>
    </row>
    <row r="152" spans="4:12" ht="16.5" thickTop="1" thickBot="1" x14ac:dyDescent="0.3">
      <c r="D152" s="16" t="s">
        <v>327</v>
      </c>
      <c r="E152" s="1" t="s">
        <v>328</v>
      </c>
      <c r="F152" s="1" t="s">
        <v>329</v>
      </c>
      <c r="G152" s="1" t="s">
        <v>238</v>
      </c>
      <c r="H152" s="1" t="s">
        <v>239</v>
      </c>
      <c r="J152" s="1">
        <f t="array" ref="J152">--ISNUMBER(IFERROR(SEARCH(Synthése!$E$3,D152,1),""))</f>
        <v>1</v>
      </c>
      <c r="K152" s="1">
        <f>IF(J152=1,COUNTIF($J$3:J152,1),"")</f>
        <v>150</v>
      </c>
      <c r="L152" s="1" t="str">
        <f t="array" ref="L152">IFERROR(INDEX($D$3:$D$300,MATCH(ROWS($K$3:K152),$K$3:$K$300,0)),"")</f>
        <v>FAITEH  Kawtar</v>
      </c>
    </row>
    <row r="153" spans="4:12" ht="16.5" thickTop="1" thickBot="1" x14ac:dyDescent="0.3">
      <c r="D153" s="16" t="s">
        <v>330</v>
      </c>
      <c r="E153" s="1" t="s">
        <v>331</v>
      </c>
      <c r="F153" s="1" t="s">
        <v>329</v>
      </c>
      <c r="G153" s="1" t="s">
        <v>238</v>
      </c>
      <c r="H153" s="1" t="s">
        <v>239</v>
      </c>
      <c r="J153" s="1">
        <f t="array" ref="J153">--ISNUMBER(IFERROR(SEARCH(Synthése!$E$3,D153,1),""))</f>
        <v>1</v>
      </c>
      <c r="K153" s="1">
        <f>IF(J153=1,COUNTIF($J$3:J153,1),"")</f>
        <v>151</v>
      </c>
      <c r="L153" s="1" t="str">
        <f t="array" ref="L153">IFERROR(INDEX($D$3:$D$300,MATCH(ROWS($K$3:K153),$K$3:$K$300,0)),"")</f>
        <v>AANEBA  Fatima-zahra</v>
      </c>
    </row>
    <row r="154" spans="4:12" ht="16.5" thickTop="1" thickBot="1" x14ac:dyDescent="0.3">
      <c r="D154" s="16" t="s">
        <v>332</v>
      </c>
      <c r="E154" s="1" t="s">
        <v>333</v>
      </c>
      <c r="F154" s="1" t="s">
        <v>329</v>
      </c>
      <c r="G154" s="1" t="s">
        <v>238</v>
      </c>
      <c r="H154" s="1" t="s">
        <v>239</v>
      </c>
      <c r="J154" s="1">
        <f t="array" ref="J154">--ISNUMBER(IFERROR(SEARCH(Synthése!$E$3,D154,1),""))</f>
        <v>1</v>
      </c>
      <c r="K154" s="1">
        <f>IF(J154=1,COUNTIF($J$3:J154,1),"")</f>
        <v>152</v>
      </c>
      <c r="L154" s="1" t="str">
        <f t="array" ref="L154">IFERROR(INDEX($D$3:$D$300,MATCH(ROWS($K$3:K154),$K$3:$K$300,0)),"")</f>
        <v>OUENJLI FARES  Latifa</v>
      </c>
    </row>
    <row r="155" spans="4:12" ht="16.5" thickTop="1" thickBot="1" x14ac:dyDescent="0.3">
      <c r="D155" s="16" t="s">
        <v>334</v>
      </c>
      <c r="E155" s="1" t="s">
        <v>335</v>
      </c>
      <c r="F155" s="1" t="s">
        <v>329</v>
      </c>
      <c r="G155" s="1" t="s">
        <v>238</v>
      </c>
      <c r="H155" s="1" t="s">
        <v>239</v>
      </c>
      <c r="J155" s="1">
        <f t="array" ref="J155">--ISNUMBER(IFERROR(SEARCH(Synthése!$E$3,D155,1),""))</f>
        <v>1</v>
      </c>
      <c r="K155" s="1">
        <f>IF(J155=1,COUNTIF($J$3:J155,1),"")</f>
        <v>153</v>
      </c>
      <c r="L155" s="1" t="str">
        <f t="array" ref="L155">IFERROR(INDEX($D$3:$D$300,MATCH(ROWS($K$3:K155),$K$3:$K$300,0)),"")</f>
        <v>OUAHI  Chiamae</v>
      </c>
    </row>
    <row r="156" spans="4:12" ht="16.5" thickTop="1" thickBot="1" x14ac:dyDescent="0.3">
      <c r="D156" s="16" t="s">
        <v>336</v>
      </c>
      <c r="E156" s="1" t="s">
        <v>337</v>
      </c>
      <c r="F156" s="1" t="s">
        <v>329</v>
      </c>
      <c r="G156" s="1" t="s">
        <v>238</v>
      </c>
      <c r="H156" s="1" t="s">
        <v>239</v>
      </c>
      <c r="J156" s="1">
        <f t="array" ref="J156">--ISNUMBER(IFERROR(SEARCH(Synthése!$E$3,D156,1),""))</f>
        <v>1</v>
      </c>
      <c r="K156" s="1">
        <f>IF(J156=1,COUNTIF($J$3:J156,1),"")</f>
        <v>154</v>
      </c>
      <c r="L156" s="1" t="str">
        <f t="array" ref="L156">IFERROR(INDEX($D$3:$D$300,MATCH(ROWS($K$3:K156),$K$3:$K$300,0)),"")</f>
        <v>MESKOURI  Nabila</v>
      </c>
    </row>
    <row r="157" spans="4:12" ht="16.5" thickTop="1" thickBot="1" x14ac:dyDescent="0.3">
      <c r="D157" s="16" t="s">
        <v>338</v>
      </c>
      <c r="E157" s="1" t="s">
        <v>339</v>
      </c>
      <c r="F157" s="1" t="s">
        <v>329</v>
      </c>
      <c r="G157" s="1" t="s">
        <v>238</v>
      </c>
      <c r="H157" s="1" t="s">
        <v>239</v>
      </c>
      <c r="J157" s="1">
        <f t="array" ref="J157">--ISNUMBER(IFERROR(SEARCH(Synthése!$E$3,D157,1),""))</f>
        <v>1</v>
      </c>
      <c r="K157" s="1">
        <f>IF(J157=1,COUNTIF($J$3:J157,1),"")</f>
        <v>155</v>
      </c>
      <c r="L157" s="1" t="str">
        <f t="array" ref="L157">IFERROR(INDEX($D$3:$D$300,MATCH(ROWS($K$3:K157),$K$3:$K$300,0)),"")</f>
        <v>TANNOUCHE BENNANI  Soukaina</v>
      </c>
    </row>
    <row r="158" spans="4:12" ht="16.5" thickTop="1" thickBot="1" x14ac:dyDescent="0.3">
      <c r="D158" s="16" t="s">
        <v>340</v>
      </c>
      <c r="E158" s="1" t="s">
        <v>341</v>
      </c>
      <c r="F158" s="1" t="s">
        <v>329</v>
      </c>
      <c r="G158" s="1" t="s">
        <v>238</v>
      </c>
      <c r="H158" s="1" t="s">
        <v>239</v>
      </c>
      <c r="J158" s="1">
        <f t="array" ref="J158">--ISNUMBER(IFERROR(SEARCH(Synthése!$E$3,D158,1),""))</f>
        <v>1</v>
      </c>
      <c r="K158" s="1">
        <f>IF(J158=1,COUNTIF($J$3:J158,1),"")</f>
        <v>156</v>
      </c>
      <c r="L158" s="1" t="str">
        <f t="array" ref="L158">IFERROR(INDEX($D$3:$D$300,MATCH(ROWS($K$3:K158),$K$3:$K$300,0)),"")</f>
        <v>ANNAKI  Walid</v>
      </c>
    </row>
    <row r="159" spans="4:12" ht="16.5" thickTop="1" thickBot="1" x14ac:dyDescent="0.3">
      <c r="D159" s="16" t="s">
        <v>342</v>
      </c>
      <c r="E159" s="1" t="s">
        <v>343</v>
      </c>
      <c r="F159" s="1" t="s">
        <v>329</v>
      </c>
      <c r="G159" s="1" t="s">
        <v>238</v>
      </c>
      <c r="H159" s="1" t="s">
        <v>239</v>
      </c>
      <c r="J159" s="1">
        <f t="array" ref="J159">--ISNUMBER(IFERROR(SEARCH(Synthése!$E$3,D159,1),""))</f>
        <v>1</v>
      </c>
      <c r="K159" s="1">
        <f>IF(J159=1,COUNTIF($J$3:J159,1),"")</f>
        <v>157</v>
      </c>
      <c r="L159" s="1" t="str">
        <f t="array" ref="L159">IFERROR(INDEX($D$3:$D$300,MATCH(ROWS($K$3:K159),$K$3:$K$300,0)),"")</f>
        <v>LACHKAR  Soufiane</v>
      </c>
    </row>
    <row r="160" spans="4:12" ht="16.5" thickTop="1" thickBot="1" x14ac:dyDescent="0.3">
      <c r="D160" s="16" t="s">
        <v>344</v>
      </c>
      <c r="E160" s="1" t="s">
        <v>345</v>
      </c>
      <c r="F160" s="1" t="s">
        <v>329</v>
      </c>
      <c r="G160" s="1" t="s">
        <v>238</v>
      </c>
      <c r="H160" s="1" t="s">
        <v>239</v>
      </c>
      <c r="J160" s="1">
        <f t="array" ref="J160">--ISNUMBER(IFERROR(SEARCH(Synthése!$E$3,D160,1),""))</f>
        <v>1</v>
      </c>
      <c r="K160" s="1">
        <f>IF(J160=1,COUNTIF($J$3:J160,1),"")</f>
        <v>158</v>
      </c>
      <c r="L160" s="1" t="str">
        <f t="array" ref="L160">IFERROR(INDEX($D$3:$D$300,MATCH(ROWS($K$3:K160),$K$3:$K$300,0)),"")</f>
        <v>HADDAOUI  Marouane</v>
      </c>
    </row>
    <row r="161" spans="4:12" ht="16.5" thickTop="1" thickBot="1" x14ac:dyDescent="0.3">
      <c r="D161" s="16" t="s">
        <v>346</v>
      </c>
      <c r="E161" s="1" t="s">
        <v>347</v>
      </c>
      <c r="F161" s="1" t="s">
        <v>329</v>
      </c>
      <c r="G161" s="1" t="s">
        <v>238</v>
      </c>
      <c r="H161" s="1" t="s">
        <v>239</v>
      </c>
      <c r="J161" s="1">
        <f t="array" ref="J161">--ISNUMBER(IFERROR(SEARCH(Synthése!$E$3,D161,1),""))</f>
        <v>1</v>
      </c>
      <c r="K161" s="1">
        <f>IF(J161=1,COUNTIF($J$3:J161,1),"")</f>
        <v>159</v>
      </c>
      <c r="L161" s="1" t="str">
        <f t="array" ref="L161">IFERROR(INDEX($D$3:$D$300,MATCH(ROWS($K$3:K161),$K$3:$K$300,0)),"")</f>
        <v>DIOP  Joseph Rene Joli Cœur</v>
      </c>
    </row>
    <row r="162" spans="4:12" ht="16.5" thickTop="1" thickBot="1" x14ac:dyDescent="0.3">
      <c r="D162" s="16" t="s">
        <v>348</v>
      </c>
      <c r="E162" s="1" t="s">
        <v>349</v>
      </c>
      <c r="F162" s="1" t="s">
        <v>350</v>
      </c>
      <c r="G162" s="1" t="s">
        <v>238</v>
      </c>
      <c r="H162" s="1" t="s">
        <v>239</v>
      </c>
      <c r="J162" s="1">
        <f t="array" ref="J162">--ISNUMBER(IFERROR(SEARCH(Synthése!$E$3,D162,1),""))</f>
        <v>1</v>
      </c>
      <c r="K162" s="1">
        <f>IF(J162=1,COUNTIF($J$3:J162,1),"")</f>
        <v>160</v>
      </c>
      <c r="L162" s="1" t="str">
        <f t="array" ref="L162">IFERROR(INDEX($D$3:$D$300,MATCH(ROWS($K$3:K162),$K$3:$K$300,0)),"")</f>
        <v>AAIDOUNE  MAHDI</v>
      </c>
    </row>
    <row r="163" spans="4:12" ht="16.5" thickTop="1" thickBot="1" x14ac:dyDescent="0.3">
      <c r="D163" s="16" t="s">
        <v>351</v>
      </c>
      <c r="E163" s="1" t="s">
        <v>352</v>
      </c>
      <c r="F163" s="1" t="s">
        <v>350</v>
      </c>
      <c r="G163" s="1" t="s">
        <v>238</v>
      </c>
      <c r="H163" s="1" t="s">
        <v>239</v>
      </c>
      <c r="J163" s="1">
        <f t="array" ref="J163">--ISNUMBER(IFERROR(SEARCH(Synthése!$E$3,D163,1),""))</f>
        <v>1</v>
      </c>
      <c r="K163" s="1">
        <f>IF(J163=1,COUNTIF($J$3:J163,1),"")</f>
        <v>161</v>
      </c>
      <c r="L163" s="1" t="str">
        <f t="array" ref="L163">IFERROR(INDEX($D$3:$D$300,MATCH(ROWS($K$3:K163),$K$3:$K$300,0)),"")</f>
        <v>AJERD  MERYAM</v>
      </c>
    </row>
    <row r="164" spans="4:12" ht="16.5" thickTop="1" thickBot="1" x14ac:dyDescent="0.3">
      <c r="D164" s="16" t="s">
        <v>353</v>
      </c>
      <c r="E164" s="1" t="s">
        <v>354</v>
      </c>
      <c r="F164" s="1" t="s">
        <v>350</v>
      </c>
      <c r="G164" s="1" t="s">
        <v>238</v>
      </c>
      <c r="H164" s="1" t="s">
        <v>239</v>
      </c>
      <c r="J164" s="1">
        <f t="array" ref="J164">--ISNUMBER(IFERROR(SEARCH(Synthése!$E$3,D164,1),""))</f>
        <v>1</v>
      </c>
      <c r="K164" s="1">
        <f>IF(J164=1,COUNTIF($J$3:J164,1),"")</f>
        <v>162</v>
      </c>
      <c r="L164" s="1" t="str">
        <f t="array" ref="L164">IFERROR(INDEX($D$3:$D$300,MATCH(ROWS($K$3:K164),$K$3:$K$300,0)),"")</f>
        <v xml:space="preserve">SEGHROUCHNI  Khadija </v>
      </c>
    </row>
    <row r="165" spans="4:12" ht="16.5" thickTop="1" thickBot="1" x14ac:dyDescent="0.3">
      <c r="D165" s="16" t="s">
        <v>355</v>
      </c>
      <c r="E165" s="1" t="s">
        <v>356</v>
      </c>
      <c r="F165" s="1" t="s">
        <v>350</v>
      </c>
      <c r="G165" s="1" t="s">
        <v>238</v>
      </c>
      <c r="H165" s="1" t="s">
        <v>239</v>
      </c>
      <c r="J165" s="1">
        <f t="array" ref="J165">--ISNUMBER(IFERROR(SEARCH(Synthése!$E$3,D165,1),""))</f>
        <v>1</v>
      </c>
      <c r="K165" s="1">
        <f>IF(J165=1,COUNTIF($J$3:J165,1),"")</f>
        <v>163</v>
      </c>
      <c r="L165" s="1" t="str">
        <f t="array" ref="L165">IFERROR(INDEX($D$3:$D$300,MATCH(ROWS($K$3:K165),$K$3:$K$300,0)),"")</f>
        <v>ACHIR  Safaa</v>
      </c>
    </row>
    <row r="166" spans="4:12" ht="16.5" thickTop="1" thickBot="1" x14ac:dyDescent="0.3">
      <c r="D166" s="16" t="s">
        <v>357</v>
      </c>
      <c r="E166" s="1" t="s">
        <v>358</v>
      </c>
      <c r="F166" s="1" t="s">
        <v>350</v>
      </c>
      <c r="G166" s="1" t="s">
        <v>238</v>
      </c>
      <c r="H166" s="1" t="s">
        <v>239</v>
      </c>
      <c r="J166" s="1">
        <f t="array" ref="J166">--ISNUMBER(IFERROR(SEARCH(Synthése!$E$3,D166,1),""))</f>
        <v>1</v>
      </c>
      <c r="K166" s="1">
        <f>IF(J166=1,COUNTIF($J$3:J166,1),"")</f>
        <v>164</v>
      </c>
      <c r="L166" s="1" t="str">
        <f t="array" ref="L166">IFERROR(INDEX($D$3:$D$300,MATCH(ROWS($K$3:K166),$K$3:$K$300,0)),"")</f>
        <v>BENSALAH  Zoubir</v>
      </c>
    </row>
    <row r="167" spans="4:12" ht="16.5" thickTop="1" thickBot="1" x14ac:dyDescent="0.3">
      <c r="D167" s="16" t="s">
        <v>359</v>
      </c>
      <c r="E167" s="1" t="s">
        <v>360</v>
      </c>
      <c r="F167" s="1" t="s">
        <v>350</v>
      </c>
      <c r="G167" s="1" t="s">
        <v>238</v>
      </c>
      <c r="H167" s="1" t="s">
        <v>239</v>
      </c>
      <c r="J167" s="1">
        <f t="array" ref="J167">--ISNUMBER(IFERROR(SEARCH(Synthése!$E$3,D167,1),""))</f>
        <v>1</v>
      </c>
      <c r="K167" s="1">
        <f>IF(J167=1,COUNTIF($J$3:J167,1),"")</f>
        <v>165</v>
      </c>
      <c r="L167" s="1" t="str">
        <f t="array" ref="L167">IFERROR(INDEX($D$3:$D$300,MATCH(ROWS($K$3:K167),$K$3:$K$300,0)),"")</f>
        <v>JAHILI  SANAE</v>
      </c>
    </row>
    <row r="168" spans="4:12" ht="16.5" thickTop="1" thickBot="1" x14ac:dyDescent="0.3">
      <c r="D168" s="16" t="s">
        <v>361</v>
      </c>
      <c r="E168" s="1" t="s">
        <v>362</v>
      </c>
      <c r="F168" s="1" t="s">
        <v>350</v>
      </c>
      <c r="G168" s="1" t="s">
        <v>238</v>
      </c>
      <c r="H168" s="1" t="s">
        <v>239</v>
      </c>
      <c r="J168" s="1">
        <f t="array" ref="J168">--ISNUMBER(IFERROR(SEARCH(Synthése!$E$3,D168,1),""))</f>
        <v>1</v>
      </c>
      <c r="K168" s="1">
        <f>IF(J168=1,COUNTIF($J$3:J168,1),"")</f>
        <v>166</v>
      </c>
      <c r="L168" s="1" t="str">
        <f t="array" ref="L168">IFERROR(INDEX($D$3:$D$300,MATCH(ROWS($K$3:K168),$K$3:$K$300,0)),"")</f>
        <v>BENCHERKI  Soufiane</v>
      </c>
    </row>
    <row r="169" spans="4:12" ht="16.5" thickTop="1" thickBot="1" x14ac:dyDescent="0.3">
      <c r="D169" s="16" t="s">
        <v>363</v>
      </c>
      <c r="E169" s="1" t="s">
        <v>364</v>
      </c>
      <c r="F169" s="1" t="s">
        <v>350</v>
      </c>
      <c r="G169" s="1" t="s">
        <v>238</v>
      </c>
      <c r="H169" s="1" t="s">
        <v>239</v>
      </c>
      <c r="J169" s="1">
        <f t="array" ref="J169">--ISNUMBER(IFERROR(SEARCH(Synthése!$E$3,D169,1),""))</f>
        <v>1</v>
      </c>
      <c r="K169" s="1">
        <f>IF(J169=1,COUNTIF($J$3:J169,1),"")</f>
        <v>167</v>
      </c>
      <c r="L169" s="1" t="str">
        <f t="array" ref="L169">IFERROR(INDEX($D$3:$D$300,MATCH(ROWS($K$3:K169),$K$3:$K$300,0)),"")</f>
        <v>JELTI  Khalil</v>
      </c>
    </row>
    <row r="170" spans="4:12" ht="16.5" thickTop="1" thickBot="1" x14ac:dyDescent="0.3">
      <c r="D170" s="16" t="s">
        <v>365</v>
      </c>
      <c r="E170" s="1" t="s">
        <v>366</v>
      </c>
      <c r="F170" s="1" t="s">
        <v>350</v>
      </c>
      <c r="G170" s="1" t="s">
        <v>238</v>
      </c>
      <c r="H170" s="1" t="s">
        <v>239</v>
      </c>
      <c r="J170" s="1">
        <f t="array" ref="J170">--ISNUMBER(IFERROR(SEARCH(Synthése!$E$3,D170,1),""))</f>
        <v>1</v>
      </c>
      <c r="K170" s="1">
        <f>IF(J170=1,COUNTIF($J$3:J170,1),"")</f>
        <v>168</v>
      </c>
      <c r="L170" s="1" t="str">
        <f t="array" ref="L170">IFERROR(INDEX($D$3:$D$300,MATCH(ROWS($K$3:K170),$K$3:$K$300,0)),"")</f>
        <v>TAOUBANE  Narjiss</v>
      </c>
    </row>
    <row r="171" spans="4:12" ht="16.5" thickTop="1" thickBot="1" x14ac:dyDescent="0.3">
      <c r="D171" s="16" t="s">
        <v>367</v>
      </c>
      <c r="E171" s="1" t="s">
        <v>368</v>
      </c>
      <c r="F171" s="1" t="s">
        <v>350</v>
      </c>
      <c r="G171" s="1" t="s">
        <v>238</v>
      </c>
      <c r="H171" s="1" t="s">
        <v>239</v>
      </c>
      <c r="J171" s="1">
        <f t="array" ref="J171">--ISNUMBER(IFERROR(SEARCH(Synthése!$E$3,D171,1),""))</f>
        <v>1</v>
      </c>
      <c r="K171" s="1">
        <f>IF(J171=1,COUNTIF($J$3:J171,1),"")</f>
        <v>169</v>
      </c>
      <c r="L171" s="1" t="str">
        <f t="array" ref="L171">IFERROR(INDEX($D$3:$D$300,MATCH(ROWS($K$3:K171),$K$3:$K$300,0)),"")</f>
        <v>BEREMDANE  Hanane</v>
      </c>
    </row>
    <row r="172" spans="4:12" ht="16.5" thickTop="1" thickBot="1" x14ac:dyDescent="0.3">
      <c r="D172" s="16" t="s">
        <v>369</v>
      </c>
      <c r="E172" s="1" t="s">
        <v>370</v>
      </c>
      <c r="F172" s="1" t="s">
        <v>350</v>
      </c>
      <c r="G172" s="1" t="s">
        <v>238</v>
      </c>
      <c r="H172" s="1" t="s">
        <v>239</v>
      </c>
      <c r="J172" s="1">
        <f t="array" ref="J172">--ISNUMBER(IFERROR(SEARCH(Synthése!$E$3,D172,1),""))</f>
        <v>1</v>
      </c>
      <c r="K172" s="1">
        <f>IF(J172=1,COUNTIF($J$3:J172,1),"")</f>
        <v>170</v>
      </c>
      <c r="L172" s="1" t="str">
        <f t="array" ref="L172">IFERROR(INDEX($D$3:$D$300,MATCH(ROWS($K$3:K172),$K$3:$K$300,0)),"")</f>
        <v>RIZQI  Mohammed Amine</v>
      </c>
    </row>
    <row r="173" spans="4:12" ht="16.5" thickTop="1" thickBot="1" x14ac:dyDescent="0.3">
      <c r="D173" s="16" t="s">
        <v>371</v>
      </c>
      <c r="E173" s="1" t="s">
        <v>372</v>
      </c>
      <c r="F173" s="1" t="s">
        <v>350</v>
      </c>
      <c r="G173" s="1" t="s">
        <v>238</v>
      </c>
      <c r="H173" s="1" t="s">
        <v>239</v>
      </c>
      <c r="J173" s="1">
        <f t="array" ref="J173">--ISNUMBER(IFERROR(SEARCH(Synthése!$E$3,D173,1),""))</f>
        <v>1</v>
      </c>
      <c r="K173" s="1">
        <f>IF(J173=1,COUNTIF($J$3:J173,1),"")</f>
        <v>171</v>
      </c>
      <c r="L173" s="1" t="str">
        <f t="array" ref="L173">IFERROR(INDEX($D$3:$D$300,MATCH(ROWS($K$3:K173),$K$3:$K$300,0)),"")</f>
        <v>BENBIHI  MOHAMED REDA</v>
      </c>
    </row>
    <row r="174" spans="4:12" ht="16.5" thickTop="1" thickBot="1" x14ac:dyDescent="0.3">
      <c r="D174" s="16" t="s">
        <v>373</v>
      </c>
      <c r="E174" s="1" t="s">
        <v>374</v>
      </c>
      <c r="F174" s="1" t="s">
        <v>350</v>
      </c>
      <c r="G174" s="1" t="s">
        <v>238</v>
      </c>
      <c r="H174" s="1" t="s">
        <v>239</v>
      </c>
      <c r="J174" s="1">
        <f t="array" ref="J174">--ISNUMBER(IFERROR(SEARCH(Synthése!$E$3,D174,1),""))</f>
        <v>1</v>
      </c>
      <c r="K174" s="1">
        <f>IF(J174=1,COUNTIF($J$3:J174,1),"")</f>
        <v>172</v>
      </c>
      <c r="L174" s="1" t="str">
        <f t="array" ref="L174">IFERROR(INDEX($D$3:$D$300,MATCH(ROWS($K$3:K174),$K$3:$K$300,0)),"")</f>
        <v>LEBSIR  Abdellah</v>
      </c>
    </row>
    <row r="175" spans="4:12" ht="16.5" thickTop="1" thickBot="1" x14ac:dyDescent="0.3">
      <c r="D175" s="16" t="s">
        <v>375</v>
      </c>
      <c r="E175" s="1" t="s">
        <v>376</v>
      </c>
      <c r="F175" s="1" t="s">
        <v>350</v>
      </c>
      <c r="G175" s="1" t="s">
        <v>238</v>
      </c>
      <c r="H175" s="1" t="s">
        <v>239</v>
      </c>
      <c r="J175" s="1">
        <f t="array" ref="J175">--ISNUMBER(IFERROR(SEARCH(Synthése!$E$3,D175,1),""))</f>
        <v>1</v>
      </c>
      <c r="K175" s="1">
        <f>IF(J175=1,COUNTIF($J$3:J175,1),"")</f>
        <v>173</v>
      </c>
      <c r="L175" s="1" t="str">
        <f t="array" ref="L175">IFERROR(INDEX($D$3:$D$300,MATCH(ROWS($K$3:K175),$K$3:$K$300,0)),"")</f>
        <v xml:space="preserve">LOUDYI Mounia </v>
      </c>
    </row>
    <row r="176" spans="4:12" ht="16.5" thickTop="1" thickBot="1" x14ac:dyDescent="0.3">
      <c r="D176" s="16" t="s">
        <v>377</v>
      </c>
      <c r="E176" s="1" t="s">
        <v>378</v>
      </c>
      <c r="F176" s="1" t="s">
        <v>379</v>
      </c>
      <c r="G176" s="1" t="s">
        <v>238</v>
      </c>
      <c r="H176" s="1" t="s">
        <v>239</v>
      </c>
      <c r="J176" s="1">
        <f t="array" ref="J176">--ISNUMBER(IFERROR(SEARCH(Synthése!$E$3,D176,1),""))</f>
        <v>1</v>
      </c>
      <c r="K176" s="1">
        <f>IF(J176=1,COUNTIF($J$3:J176,1),"")</f>
        <v>174</v>
      </c>
      <c r="L176" s="1" t="str">
        <f t="array" ref="L176">IFERROR(INDEX($D$3:$D$300,MATCH(ROWS($K$3:K176),$K$3:$K$300,0)),"")</f>
        <v>EL KHATTABI  Rachid</v>
      </c>
    </row>
    <row r="177" spans="4:12" ht="16.5" thickTop="1" thickBot="1" x14ac:dyDescent="0.3">
      <c r="D177" s="16" t="s">
        <v>380</v>
      </c>
      <c r="E177" s="1" t="s">
        <v>381</v>
      </c>
      <c r="F177" s="1" t="s">
        <v>379</v>
      </c>
      <c r="G177" s="1" t="s">
        <v>238</v>
      </c>
      <c r="H177" s="1" t="s">
        <v>239</v>
      </c>
      <c r="J177" s="1">
        <f t="array" ref="J177">--ISNUMBER(IFERROR(SEARCH(Synthése!$E$3,D177,1),""))</f>
        <v>1</v>
      </c>
      <c r="K177" s="1">
        <f>IF(J177=1,COUNTIF($J$3:J177,1),"")</f>
        <v>175</v>
      </c>
      <c r="L177" s="1" t="str">
        <f t="array" ref="L177">IFERROR(INDEX($D$3:$D$300,MATCH(ROWS($K$3:K177),$K$3:$K$300,0)),"")</f>
        <v>CHAHBOUNE  Ibtissam</v>
      </c>
    </row>
    <row r="178" spans="4:12" ht="16.5" thickTop="1" thickBot="1" x14ac:dyDescent="0.3">
      <c r="D178" s="16" t="s">
        <v>382</v>
      </c>
      <c r="E178" s="1" t="s">
        <v>383</v>
      </c>
      <c r="F178" s="1" t="s">
        <v>379</v>
      </c>
      <c r="G178" s="1" t="s">
        <v>238</v>
      </c>
      <c r="H178" s="1" t="s">
        <v>239</v>
      </c>
      <c r="J178" s="1">
        <f t="array" ref="J178">--ISNUMBER(IFERROR(SEARCH(Synthése!$E$3,D178,1),""))</f>
        <v>1</v>
      </c>
      <c r="K178" s="1">
        <f>IF(J178=1,COUNTIF($J$3:J178,1),"")</f>
        <v>176</v>
      </c>
      <c r="L178" s="1" t="str">
        <f t="array" ref="L178">IFERROR(INDEX($D$3:$D$300,MATCH(ROWS($K$3:K178),$K$3:$K$300,0)),"")</f>
        <v>SIARY  Mohamed-taha</v>
      </c>
    </row>
    <row r="179" spans="4:12" ht="16.5" thickTop="1" thickBot="1" x14ac:dyDescent="0.3">
      <c r="D179" s="16" t="s">
        <v>384</v>
      </c>
      <c r="E179" s="1" t="s">
        <v>385</v>
      </c>
      <c r="F179" s="1" t="s">
        <v>379</v>
      </c>
      <c r="G179" s="1" t="s">
        <v>238</v>
      </c>
      <c r="H179" s="1" t="s">
        <v>239</v>
      </c>
      <c r="J179" s="1">
        <f t="array" ref="J179">--ISNUMBER(IFERROR(SEARCH(Synthése!$E$3,D179,1),""))</f>
        <v>1</v>
      </c>
      <c r="K179" s="1">
        <f>IF(J179=1,COUNTIF($J$3:J179,1),"")</f>
        <v>177</v>
      </c>
      <c r="L179" s="1" t="str">
        <f t="array" ref="L179">IFERROR(INDEX($D$3:$D$300,MATCH(ROWS($K$3:K179),$K$3:$K$300,0)),"")</f>
        <v>HIZAM  Mohamed</v>
      </c>
    </row>
    <row r="180" spans="4:12" ht="16.5" thickTop="1" thickBot="1" x14ac:dyDescent="0.3">
      <c r="D180" s="16" t="s">
        <v>386</v>
      </c>
      <c r="E180" s="1" t="s">
        <v>387</v>
      </c>
      <c r="F180" s="1" t="s">
        <v>379</v>
      </c>
      <c r="G180" s="1" t="s">
        <v>238</v>
      </c>
      <c r="H180" s="1" t="s">
        <v>239</v>
      </c>
      <c r="J180" s="1">
        <f t="array" ref="J180">--ISNUMBER(IFERROR(SEARCH(Synthése!$E$3,D180,1),""))</f>
        <v>1</v>
      </c>
      <c r="K180" s="1">
        <f>IF(J180=1,COUNTIF($J$3:J180,1),"")</f>
        <v>178</v>
      </c>
      <c r="L180" s="1" t="str">
        <f t="array" ref="L180">IFERROR(INDEX($D$3:$D$300,MATCH(ROWS($K$3:K180),$K$3:$K$300,0)),"")</f>
        <v>M'HAMMEDI  Khalil</v>
      </c>
    </row>
    <row r="181" spans="4:12" ht="16.5" thickTop="1" thickBot="1" x14ac:dyDescent="0.3">
      <c r="D181" s="16" t="s">
        <v>388</v>
      </c>
      <c r="E181" s="1" t="s">
        <v>389</v>
      </c>
      <c r="F181" s="1" t="s">
        <v>379</v>
      </c>
      <c r="G181" s="1" t="s">
        <v>238</v>
      </c>
      <c r="H181" s="1" t="s">
        <v>239</v>
      </c>
      <c r="J181" s="1">
        <f t="array" ref="J181">--ISNUMBER(IFERROR(SEARCH(Synthése!$E$3,D181,1),""))</f>
        <v>1</v>
      </c>
      <c r="K181" s="1">
        <f>IF(J181=1,COUNTIF($J$3:J181,1),"")</f>
        <v>179</v>
      </c>
      <c r="L181" s="1" t="str">
        <f t="array" ref="L181">IFERROR(INDEX($D$3:$D$300,MATCH(ROWS($K$3:K181),$K$3:$K$300,0)),"")</f>
        <v>TBAIKHI  Hamza</v>
      </c>
    </row>
    <row r="182" spans="4:12" ht="16.5" thickTop="1" thickBot="1" x14ac:dyDescent="0.3">
      <c r="D182" s="16" t="s">
        <v>390</v>
      </c>
      <c r="E182" s="1" t="s">
        <v>391</v>
      </c>
      <c r="F182" s="1" t="s">
        <v>379</v>
      </c>
      <c r="G182" s="1" t="s">
        <v>238</v>
      </c>
      <c r="H182" s="1" t="s">
        <v>239</v>
      </c>
      <c r="J182" s="1">
        <f t="array" ref="J182">--ISNUMBER(IFERROR(SEARCH(Synthése!$E$3,D182,1),""))</f>
        <v>1</v>
      </c>
      <c r="K182" s="1">
        <f>IF(J182=1,COUNTIF($J$3:J182,1),"")</f>
        <v>180</v>
      </c>
      <c r="L182" s="1" t="str">
        <f t="array" ref="L182">IFERROR(INDEX($D$3:$D$300,MATCH(ROWS($K$3:K182),$K$3:$K$300,0)),"")</f>
        <v>ZANEZOUN  KAOUTAR</v>
      </c>
    </row>
    <row r="183" spans="4:12" ht="16.5" thickTop="1" thickBot="1" x14ac:dyDescent="0.3">
      <c r="D183" s="16" t="s">
        <v>392</v>
      </c>
      <c r="E183" s="1" t="s">
        <v>393</v>
      </c>
      <c r="F183" s="1" t="s">
        <v>379</v>
      </c>
      <c r="G183" s="1" t="s">
        <v>238</v>
      </c>
      <c r="H183" s="1" t="s">
        <v>239</v>
      </c>
      <c r="J183" s="1">
        <f t="array" ref="J183">--ISNUMBER(IFERROR(SEARCH(Synthése!$E$3,D183,1),""))</f>
        <v>1</v>
      </c>
      <c r="K183" s="1">
        <f>IF(J183=1,COUNTIF($J$3:J183,1),"")</f>
        <v>181</v>
      </c>
      <c r="L183" s="1" t="str">
        <f t="array" ref="L183">IFERROR(INDEX($D$3:$D$300,MATCH(ROWS($K$3:K183),$K$3:$K$300,0)),"")</f>
        <v>AJEMAA  Mohammed Amine</v>
      </c>
    </row>
    <row r="184" spans="4:12" ht="16.5" thickTop="1" thickBot="1" x14ac:dyDescent="0.3">
      <c r="D184" s="16" t="s">
        <v>394</v>
      </c>
      <c r="E184" s="1" t="s">
        <v>395</v>
      </c>
      <c r="F184" s="1" t="s">
        <v>379</v>
      </c>
      <c r="G184" s="1" t="s">
        <v>238</v>
      </c>
      <c r="H184" s="1" t="s">
        <v>239</v>
      </c>
      <c r="J184" s="1">
        <f t="array" ref="J184">--ISNUMBER(IFERROR(SEARCH(Synthése!$E$3,D184,1),""))</f>
        <v>1</v>
      </c>
      <c r="K184" s="1">
        <f>IF(J184=1,COUNTIF($J$3:J184,1),"")</f>
        <v>182</v>
      </c>
      <c r="L184" s="1" t="str">
        <f t="array" ref="L184">IFERROR(INDEX($D$3:$D$300,MATCH(ROWS($K$3:K184),$K$3:$K$300,0)),"")</f>
        <v>HIBA  Latifa</v>
      </c>
    </row>
    <row r="185" spans="4:12" ht="16.5" thickTop="1" thickBot="1" x14ac:dyDescent="0.3">
      <c r="D185" s="16" t="s">
        <v>396</v>
      </c>
      <c r="E185" s="1" t="s">
        <v>397</v>
      </c>
      <c r="F185" s="1" t="s">
        <v>379</v>
      </c>
      <c r="G185" s="1" t="s">
        <v>238</v>
      </c>
      <c r="H185" s="1" t="s">
        <v>239</v>
      </c>
      <c r="J185" s="1">
        <f t="array" ref="J185">--ISNUMBER(IFERROR(SEARCH(Synthése!$E$3,D185,1),""))</f>
        <v>1</v>
      </c>
      <c r="K185" s="1">
        <f>IF(J185=1,COUNTIF($J$3:J185,1),"")</f>
        <v>183</v>
      </c>
      <c r="L185" s="1" t="str">
        <f t="array" ref="L185">IFERROR(INDEX($D$3:$D$300,MATCH(ROWS($K$3:K185),$K$3:$K$300,0)),"")</f>
        <v>OULFRACH  Mouad</v>
      </c>
    </row>
    <row r="186" spans="4:12" ht="16.5" thickTop="1" thickBot="1" x14ac:dyDescent="0.3">
      <c r="D186" s="16" t="s">
        <v>398</v>
      </c>
      <c r="E186" s="1" t="s">
        <v>399</v>
      </c>
      <c r="F186" s="1" t="s">
        <v>379</v>
      </c>
      <c r="G186" s="1" t="s">
        <v>238</v>
      </c>
      <c r="H186" s="1" t="s">
        <v>239</v>
      </c>
      <c r="J186" s="1">
        <f t="array" ref="J186">--ISNUMBER(IFERROR(SEARCH(Synthése!$E$3,D186,1),""))</f>
        <v>1</v>
      </c>
      <c r="K186" s="1">
        <f>IF(J186=1,COUNTIF($J$3:J186,1),"")</f>
        <v>184</v>
      </c>
      <c r="L186" s="1" t="str">
        <f t="array" ref="L186">IFERROR(INDEX($D$3:$D$300,MATCH(ROWS($K$3:K186),$K$3:$K$300,0)),"")</f>
        <v>MACHKOURI  Amine</v>
      </c>
    </row>
    <row r="187" spans="4:12" ht="16.5" thickTop="1" thickBot="1" x14ac:dyDescent="0.3">
      <c r="D187" s="16" t="s">
        <v>400</v>
      </c>
      <c r="E187" s="1" t="s">
        <v>401</v>
      </c>
      <c r="F187" s="1" t="s">
        <v>402</v>
      </c>
      <c r="G187" s="1" t="s">
        <v>403</v>
      </c>
      <c r="H187" s="1" t="s">
        <v>404</v>
      </c>
      <c r="J187" s="1">
        <f t="array" ref="J187">--ISNUMBER(IFERROR(SEARCH(Synthése!$E$3,D187,1),""))</f>
        <v>1</v>
      </c>
      <c r="K187" s="1">
        <f>IF(J187=1,COUNTIF($J$3:J187,1),"")</f>
        <v>185</v>
      </c>
      <c r="L187" s="1" t="str">
        <f t="array" ref="L187">IFERROR(INDEX($D$3:$D$300,MATCH(ROWS($K$3:K187),$K$3:$K$300,0)),"")</f>
        <v>MOMI  Hydia</v>
      </c>
    </row>
    <row r="188" spans="4:12" ht="16.5" thickTop="1" thickBot="1" x14ac:dyDescent="0.3">
      <c r="D188" s="16" t="s">
        <v>405</v>
      </c>
      <c r="E188" s="1" t="s">
        <v>406</v>
      </c>
      <c r="F188" s="1" t="s">
        <v>402</v>
      </c>
      <c r="G188" s="1" t="s">
        <v>403</v>
      </c>
      <c r="H188" s="1" t="s">
        <v>404</v>
      </c>
      <c r="J188" s="1">
        <f t="array" ref="J188">--ISNUMBER(IFERROR(SEARCH(Synthése!$E$3,D188,1),""))</f>
        <v>1</v>
      </c>
      <c r="K188" s="1">
        <f>IF(J188=1,COUNTIF($J$3:J188,1),"")</f>
        <v>186</v>
      </c>
      <c r="L188" s="1" t="str">
        <f t="array" ref="L188">IFERROR(INDEX($D$3:$D$300,MATCH(ROWS($K$3:K188),$K$3:$K$300,0)),"")</f>
        <v>DEBBI  Sidi Ouafi</v>
      </c>
    </row>
    <row r="189" spans="4:12" ht="16.5" thickTop="1" thickBot="1" x14ac:dyDescent="0.3">
      <c r="D189" s="16" t="s">
        <v>407</v>
      </c>
      <c r="E189" s="1" t="s">
        <v>408</v>
      </c>
      <c r="F189" s="1" t="s">
        <v>402</v>
      </c>
      <c r="G189" s="1" t="s">
        <v>403</v>
      </c>
      <c r="H189" s="1" t="s">
        <v>404</v>
      </c>
      <c r="J189" s="1">
        <f t="array" ref="J189">--ISNUMBER(IFERROR(SEARCH(Synthése!$E$3,D189,1),""))</f>
        <v>1</v>
      </c>
      <c r="K189" s="1">
        <f>IF(J189=1,COUNTIF($J$3:J189,1),"")</f>
        <v>187</v>
      </c>
      <c r="L189" s="1" t="str">
        <f t="array" ref="L189">IFERROR(INDEX($D$3:$D$300,MATCH(ROWS($K$3:K189),$K$3:$K$300,0)),"")</f>
        <v>BAKKALI  Hiba</v>
      </c>
    </row>
    <row r="190" spans="4:12" ht="16.5" thickTop="1" thickBot="1" x14ac:dyDescent="0.3">
      <c r="D190" s="16" t="s">
        <v>409</v>
      </c>
      <c r="E190" s="1" t="s">
        <v>410</v>
      </c>
      <c r="F190" s="1" t="s">
        <v>402</v>
      </c>
      <c r="G190" s="1" t="s">
        <v>403</v>
      </c>
      <c r="H190" s="1" t="s">
        <v>404</v>
      </c>
      <c r="J190" s="1">
        <f t="array" ref="J190">--ISNUMBER(IFERROR(SEARCH(Synthése!$E$3,D190,1),""))</f>
        <v>1</v>
      </c>
      <c r="K190" s="1">
        <f>IF(J190=1,COUNTIF($J$3:J190,1),"")</f>
        <v>188</v>
      </c>
      <c r="L190" s="1" t="str">
        <f t="array" ref="L190">IFERROR(INDEX($D$3:$D$300,MATCH(ROWS($K$3:K190),$K$3:$K$300,0)),"")</f>
        <v>KHLIFI  Dina</v>
      </c>
    </row>
    <row r="191" spans="4:12" ht="16.5" thickTop="1" thickBot="1" x14ac:dyDescent="0.3">
      <c r="D191" s="16" t="s">
        <v>411</v>
      </c>
      <c r="E191" s="1" t="s">
        <v>412</v>
      </c>
      <c r="F191" s="1" t="s">
        <v>402</v>
      </c>
      <c r="G191" s="1" t="s">
        <v>403</v>
      </c>
      <c r="H191" s="1" t="s">
        <v>404</v>
      </c>
      <c r="J191" s="1">
        <f t="array" ref="J191">--ISNUMBER(IFERROR(SEARCH(Synthése!$E$3,D191,1),""))</f>
        <v>1</v>
      </c>
      <c r="K191" s="1">
        <f>IF(J191=1,COUNTIF($J$3:J191,1),"")</f>
        <v>189</v>
      </c>
      <c r="L191" s="1" t="str">
        <f t="array" ref="L191">IFERROR(INDEX($D$3:$D$300,MATCH(ROWS($K$3:K191),$K$3:$K$300,0)),"")</f>
        <v>QABBA  Imane</v>
      </c>
    </row>
    <row r="192" spans="4:12" ht="16.5" thickTop="1" thickBot="1" x14ac:dyDescent="0.3">
      <c r="D192" s="16" t="s">
        <v>413</v>
      </c>
      <c r="E192" s="1" t="s">
        <v>414</v>
      </c>
      <c r="F192" s="1" t="s">
        <v>402</v>
      </c>
      <c r="G192" s="1" t="s">
        <v>403</v>
      </c>
      <c r="H192" s="1" t="s">
        <v>404</v>
      </c>
      <c r="J192" s="1">
        <f t="array" ref="J192">--ISNUMBER(IFERROR(SEARCH(Synthése!$E$3,D192,1),""))</f>
        <v>1</v>
      </c>
      <c r="K192" s="1">
        <f>IF(J192=1,COUNTIF($J$3:J192,1),"")</f>
        <v>190</v>
      </c>
      <c r="L192" s="1" t="str">
        <f t="array" ref="L192">IFERROR(INDEX($D$3:$D$300,MATCH(ROWS($K$3:K192),$K$3:$K$300,0)),"")</f>
        <v>CHITOUH  MOUNA</v>
      </c>
    </row>
    <row r="193" spans="4:12" ht="16.5" thickTop="1" thickBot="1" x14ac:dyDescent="0.3">
      <c r="D193" s="16" t="s">
        <v>415</v>
      </c>
      <c r="E193" s="1" t="s">
        <v>416</v>
      </c>
      <c r="F193" s="1" t="s">
        <v>402</v>
      </c>
      <c r="G193" s="1" t="s">
        <v>403</v>
      </c>
      <c r="H193" s="1" t="s">
        <v>404</v>
      </c>
      <c r="J193" s="1">
        <f t="array" ref="J193">--ISNUMBER(IFERROR(SEARCH(Synthése!$E$3,D193,1),""))</f>
        <v>1</v>
      </c>
      <c r="K193" s="1">
        <f>IF(J193=1,COUNTIF($J$3:J193,1),"")</f>
        <v>191</v>
      </c>
      <c r="L193" s="1" t="str">
        <f t="array" ref="L193">IFERROR(INDEX($D$3:$D$300,MATCH(ROWS($K$3:K193),$K$3:$K$300,0)),"")</f>
        <v>DAOUDI  SARA</v>
      </c>
    </row>
    <row r="194" spans="4:12" ht="16.5" thickTop="1" thickBot="1" x14ac:dyDescent="0.3">
      <c r="D194" s="16" t="s">
        <v>417</v>
      </c>
      <c r="E194" s="1" t="s">
        <v>418</v>
      </c>
      <c r="F194" s="1" t="s">
        <v>402</v>
      </c>
      <c r="G194" s="1" t="s">
        <v>403</v>
      </c>
      <c r="H194" s="1" t="s">
        <v>404</v>
      </c>
      <c r="J194" s="1">
        <f t="array" ref="J194">--ISNUMBER(IFERROR(SEARCH(Synthése!$E$3,D194,1),""))</f>
        <v>1</v>
      </c>
      <c r="K194" s="1">
        <f>IF(J194=1,COUNTIF($J$3:J194,1),"")</f>
        <v>192</v>
      </c>
      <c r="L194" s="1" t="str">
        <f t="array" ref="L194">IFERROR(INDEX($D$3:$D$300,MATCH(ROWS($K$3:K194),$K$3:$K$300,0)),"")</f>
        <v>AGUIDA  ZINEB</v>
      </c>
    </row>
    <row r="195" spans="4:12" ht="16.5" thickTop="1" thickBot="1" x14ac:dyDescent="0.3">
      <c r="D195" s="16" t="s">
        <v>419</v>
      </c>
      <c r="E195" s="1" t="s">
        <v>420</v>
      </c>
      <c r="F195" s="1" t="s">
        <v>402</v>
      </c>
      <c r="G195" s="1" t="s">
        <v>403</v>
      </c>
      <c r="H195" s="1" t="s">
        <v>404</v>
      </c>
      <c r="J195" s="1">
        <f t="array" ref="J195">--ISNUMBER(IFERROR(SEARCH(Synthése!$E$3,D195,1),""))</f>
        <v>1</v>
      </c>
      <c r="K195" s="1">
        <f>IF(J195=1,COUNTIF($J$3:J195,1),"")</f>
        <v>193</v>
      </c>
      <c r="L195" s="1" t="str">
        <f t="array" ref="L195">IFERROR(INDEX($D$3:$D$300,MATCH(ROWS($K$3:K195),$K$3:$K$300,0)),"")</f>
        <v>LAKHOUIDA  Safaa</v>
      </c>
    </row>
    <row r="196" spans="4:12" ht="16.5" thickTop="1" thickBot="1" x14ac:dyDescent="0.3">
      <c r="D196" s="16" t="s">
        <v>421</v>
      </c>
      <c r="E196" s="1" t="s">
        <v>422</v>
      </c>
      <c r="F196" s="1" t="s">
        <v>402</v>
      </c>
      <c r="G196" s="1" t="s">
        <v>403</v>
      </c>
      <c r="H196" s="1" t="s">
        <v>404</v>
      </c>
      <c r="J196" s="1">
        <f t="array" ref="J196">--ISNUMBER(IFERROR(SEARCH(Synthése!$E$3,D196,1),""))</f>
        <v>1</v>
      </c>
      <c r="K196" s="1">
        <f>IF(J196=1,COUNTIF($J$3:J196,1),"")</f>
        <v>194</v>
      </c>
      <c r="L196" s="1" t="str">
        <f t="array" ref="L196">IFERROR(INDEX($D$3:$D$300,MATCH(ROWS($K$3:K196),$K$3:$K$300,0)),"")</f>
        <v>GHYATE  Oumnia</v>
      </c>
    </row>
    <row r="197" spans="4:12" ht="16.5" thickTop="1" thickBot="1" x14ac:dyDescent="0.3">
      <c r="D197" s="16" t="s">
        <v>423</v>
      </c>
      <c r="E197" s="1" t="s">
        <v>424</v>
      </c>
      <c r="F197" s="1" t="s">
        <v>402</v>
      </c>
      <c r="G197" s="1" t="s">
        <v>403</v>
      </c>
      <c r="H197" s="1" t="s">
        <v>404</v>
      </c>
      <c r="J197" s="1">
        <f t="array" ref="J197">--ISNUMBER(IFERROR(SEARCH(Synthése!$E$3,D197,1),""))</f>
        <v>1</v>
      </c>
      <c r="K197" s="1">
        <f>IF(J197=1,COUNTIF($J$3:J197,1),"")</f>
        <v>195</v>
      </c>
      <c r="L197" s="1" t="str">
        <f t="array" ref="L197">IFERROR(INDEX($D$3:$D$300,MATCH(ROWS($K$3:K197),$K$3:$K$300,0)),"")</f>
        <v>DOUIRI  Badr</v>
      </c>
    </row>
    <row r="198" spans="4:12" ht="16.5" thickTop="1" thickBot="1" x14ac:dyDescent="0.3">
      <c r="D198" s="16" t="s">
        <v>425</v>
      </c>
      <c r="E198" s="1" t="s">
        <v>426</v>
      </c>
      <c r="F198" s="1" t="s">
        <v>402</v>
      </c>
      <c r="G198" s="1" t="s">
        <v>403</v>
      </c>
      <c r="H198" s="1" t="s">
        <v>404</v>
      </c>
      <c r="J198" s="1">
        <f t="array" ref="J198">--ISNUMBER(IFERROR(SEARCH(Synthése!$E$3,D198,1),""))</f>
        <v>1</v>
      </c>
      <c r="K198" s="1">
        <f>IF(J198=1,COUNTIF($J$3:J198,1),"")</f>
        <v>196</v>
      </c>
      <c r="L198" s="1" t="str">
        <f t="array" ref="L198">IFERROR(INDEX($D$3:$D$300,MATCH(ROWS($K$3:K198),$K$3:$K$300,0)),"")</f>
        <v>SCHAMEL  Khaoula</v>
      </c>
    </row>
    <row r="199" spans="4:12" ht="16.5" thickTop="1" thickBot="1" x14ac:dyDescent="0.3">
      <c r="D199" s="16" t="s">
        <v>427</v>
      </c>
      <c r="E199" s="1" t="s">
        <v>428</v>
      </c>
      <c r="F199" s="1" t="s">
        <v>402</v>
      </c>
      <c r="G199" s="1" t="s">
        <v>403</v>
      </c>
      <c r="H199" s="1" t="s">
        <v>404</v>
      </c>
      <c r="J199" s="1">
        <f t="array" ref="J199">--ISNUMBER(IFERROR(SEARCH(Synthése!$E$3,D199,1),""))</f>
        <v>1</v>
      </c>
      <c r="K199" s="1">
        <f>IF(J199=1,COUNTIF($J$3:J199,1),"")</f>
        <v>197</v>
      </c>
      <c r="L199" s="1" t="str">
        <f t="array" ref="L199">IFERROR(INDEX($D$3:$D$300,MATCH(ROWS($K$3:K199),$K$3:$K$300,0)),"")</f>
        <v>GHOULOULOU  MOHAMED ISSAM</v>
      </c>
    </row>
    <row r="200" spans="4:12" ht="16.5" thickTop="1" thickBot="1" x14ac:dyDescent="0.3">
      <c r="D200" s="16" t="s">
        <v>429</v>
      </c>
      <c r="E200" s="1" t="s">
        <v>430</v>
      </c>
      <c r="F200" s="1" t="s">
        <v>431</v>
      </c>
      <c r="G200" s="1" t="s">
        <v>403</v>
      </c>
      <c r="H200" s="1" t="s">
        <v>16</v>
      </c>
      <c r="J200" s="1">
        <f t="array" ref="J200">--ISNUMBER(IFERROR(SEARCH(Synthése!$E$3,D200,1),""))</f>
        <v>1</v>
      </c>
      <c r="K200" s="1">
        <f>IF(J200=1,COUNTIF($J$3:J200,1),"")</f>
        <v>198</v>
      </c>
      <c r="L200" s="1" t="str">
        <f t="array" ref="L200">IFERROR(INDEX($D$3:$D$300,MATCH(ROWS($K$3:K200),$K$3:$K$300,0)),"")</f>
        <v>CHADLI  Nawal</v>
      </c>
    </row>
    <row r="201" spans="4:12" ht="16.5" thickTop="1" thickBot="1" x14ac:dyDescent="0.3">
      <c r="D201" s="16" t="s">
        <v>432</v>
      </c>
      <c r="E201" s="1" t="s">
        <v>433</v>
      </c>
      <c r="F201" s="1" t="s">
        <v>431</v>
      </c>
      <c r="G201" s="1" t="s">
        <v>403</v>
      </c>
      <c r="H201" s="1" t="s">
        <v>16</v>
      </c>
      <c r="J201" s="1">
        <f t="array" ref="J201">--ISNUMBER(IFERROR(SEARCH(Synthése!$E$3,D201,1),""))</f>
        <v>1</v>
      </c>
      <c r="K201" s="1">
        <f>IF(J201=1,COUNTIF($J$3:J201,1),"")</f>
        <v>199</v>
      </c>
      <c r="L201" s="1" t="str">
        <f t="array" ref="L201">IFERROR(INDEX($D$3:$D$300,MATCH(ROWS($K$3:K201),$K$3:$K$300,0)),"")</f>
        <v>BELGUERRAB  FADWA</v>
      </c>
    </row>
    <row r="202" spans="4:12" ht="16.5" thickTop="1" thickBot="1" x14ac:dyDescent="0.3">
      <c r="D202" s="16" t="s">
        <v>434</v>
      </c>
      <c r="E202" s="1" t="s">
        <v>435</v>
      </c>
      <c r="F202" s="1" t="s">
        <v>431</v>
      </c>
      <c r="G202" s="1" t="s">
        <v>403</v>
      </c>
      <c r="H202" s="1" t="s">
        <v>16</v>
      </c>
      <c r="J202" s="1">
        <f t="array" ref="J202">--ISNUMBER(IFERROR(SEARCH(Synthése!$E$3,D202,1),""))</f>
        <v>1</v>
      </c>
      <c r="K202" s="1">
        <f>IF(J202=1,COUNTIF($J$3:J202,1),"")</f>
        <v>200</v>
      </c>
      <c r="L202" s="1" t="str">
        <f t="array" ref="L202">IFERROR(INDEX($D$3:$D$300,MATCH(ROWS($K$3:K202),$K$3:$K$300,0)),"")</f>
        <v>NDIAYE  Aminata</v>
      </c>
    </row>
    <row r="203" spans="4:12" ht="16.5" thickTop="1" thickBot="1" x14ac:dyDescent="0.3">
      <c r="D203" s="16" t="s">
        <v>436</v>
      </c>
      <c r="E203" s="1" t="s">
        <v>437</v>
      </c>
      <c r="F203" s="1" t="s">
        <v>431</v>
      </c>
      <c r="G203" s="1" t="s">
        <v>403</v>
      </c>
      <c r="H203" s="1" t="s">
        <v>16</v>
      </c>
      <c r="J203" s="1">
        <f t="array" ref="J203">--ISNUMBER(IFERROR(SEARCH(Synthése!$E$3,D203,1),""))</f>
        <v>1</v>
      </c>
      <c r="K203" s="1">
        <f>IF(J203=1,COUNTIF($J$3:J203,1),"")</f>
        <v>201</v>
      </c>
      <c r="L203" s="1" t="str">
        <f t="array" ref="L203">IFERROR(INDEX($D$3:$D$300,MATCH(ROWS($K$3:K203),$K$3:$K$300,0)),"")</f>
        <v>TIHLI  Youssra</v>
      </c>
    </row>
    <row r="204" spans="4:12" ht="16.5" thickTop="1" thickBot="1" x14ac:dyDescent="0.3">
      <c r="D204" s="16" t="s">
        <v>438</v>
      </c>
      <c r="E204" s="1" t="s">
        <v>439</v>
      </c>
      <c r="F204" s="1" t="s">
        <v>431</v>
      </c>
      <c r="G204" s="1" t="s">
        <v>403</v>
      </c>
      <c r="H204" s="1" t="s">
        <v>16</v>
      </c>
      <c r="J204" s="1">
        <f t="array" ref="J204">--ISNUMBER(IFERROR(SEARCH(Synthése!$E$3,D204,1),""))</f>
        <v>1</v>
      </c>
      <c r="K204" s="1">
        <f>IF(J204=1,COUNTIF($J$3:J204,1),"")</f>
        <v>202</v>
      </c>
      <c r="L204" s="1" t="str">
        <f t="array" ref="L204">IFERROR(INDEX($D$3:$D$300,MATCH(ROWS($K$3:K204),$K$3:$K$300,0)),"")</f>
        <v>RIDA SBAY  Fadoua</v>
      </c>
    </row>
    <row r="205" spans="4:12" ht="16.5" thickTop="1" thickBot="1" x14ac:dyDescent="0.3">
      <c r="D205" s="16" t="s">
        <v>440</v>
      </c>
      <c r="E205" s="1" t="s">
        <v>441</v>
      </c>
      <c r="F205" s="1" t="s">
        <v>431</v>
      </c>
      <c r="G205" s="1" t="s">
        <v>403</v>
      </c>
      <c r="H205" s="1" t="s">
        <v>16</v>
      </c>
      <c r="J205" s="1">
        <f t="array" ref="J205">--ISNUMBER(IFERROR(SEARCH(Synthése!$E$3,D205,1),""))</f>
        <v>1</v>
      </c>
      <c r="K205" s="1">
        <f>IF(J205=1,COUNTIF($J$3:J205,1),"")</f>
        <v>203</v>
      </c>
      <c r="L205" s="1" t="str">
        <f t="array" ref="L205">IFERROR(INDEX($D$3:$D$300,MATCH(ROWS($K$3:K205),$K$3:$K$300,0)),"")</f>
        <v>CHAHID  Soukaina</v>
      </c>
    </row>
    <row r="206" spans="4:12" ht="16.5" thickTop="1" thickBot="1" x14ac:dyDescent="0.3">
      <c r="D206" s="16" t="s">
        <v>442</v>
      </c>
      <c r="E206" s="1" t="s">
        <v>443</v>
      </c>
      <c r="F206" s="1" t="s">
        <v>431</v>
      </c>
      <c r="G206" s="1" t="s">
        <v>403</v>
      </c>
      <c r="H206" s="1" t="s">
        <v>16</v>
      </c>
      <c r="J206" s="1">
        <f t="array" ref="J206">--ISNUMBER(IFERROR(SEARCH(Synthése!$E$3,D206,1),""))</f>
        <v>1</v>
      </c>
      <c r="K206" s="1">
        <f>IF(J206=1,COUNTIF($J$3:J206,1),"")</f>
        <v>204</v>
      </c>
      <c r="L206" s="1" t="str">
        <f t="array" ref="L206">IFERROR(INDEX($D$3:$D$300,MATCH(ROWS($K$3:K206),$K$3:$K$300,0)),"")</f>
        <v>BELAOUD  Rajae</v>
      </c>
    </row>
    <row r="207" spans="4:12" ht="16.5" thickTop="1" thickBot="1" x14ac:dyDescent="0.3">
      <c r="D207" s="16" t="s">
        <v>444</v>
      </c>
      <c r="E207" s="1" t="s">
        <v>445</v>
      </c>
      <c r="F207" s="1" t="s">
        <v>431</v>
      </c>
      <c r="G207" s="1" t="s">
        <v>403</v>
      </c>
      <c r="H207" s="1" t="s">
        <v>16</v>
      </c>
      <c r="J207" s="1">
        <f t="array" ref="J207">--ISNUMBER(IFERROR(SEARCH(Synthése!$E$3,D207,1),""))</f>
        <v>1</v>
      </c>
      <c r="K207" s="1">
        <f>IF(J207=1,COUNTIF($J$3:J207,1),"")</f>
        <v>205</v>
      </c>
      <c r="L207" s="1" t="str">
        <f t="array" ref="L207">IFERROR(INDEX($D$3:$D$300,MATCH(ROWS($K$3:K207),$K$3:$K$300,0)),"")</f>
        <v>AQARIDEN  Taoufik</v>
      </c>
    </row>
    <row r="208" spans="4:12" ht="16.5" thickTop="1" thickBot="1" x14ac:dyDescent="0.3">
      <c r="D208" s="16" t="s">
        <v>446</v>
      </c>
      <c r="E208" s="1" t="s">
        <v>447</v>
      </c>
      <c r="F208" s="1" t="s">
        <v>431</v>
      </c>
      <c r="G208" s="1" t="s">
        <v>403</v>
      </c>
      <c r="H208" s="1" t="s">
        <v>16</v>
      </c>
      <c r="J208" s="1">
        <f t="array" ref="J208">--ISNUMBER(IFERROR(SEARCH(Synthése!$E$3,D208,1),""))</f>
        <v>1</v>
      </c>
      <c r="K208" s="1">
        <f>IF(J208=1,COUNTIF($J$3:J208,1),"")</f>
        <v>206</v>
      </c>
      <c r="L208" s="1" t="str">
        <f t="array" ref="L208">IFERROR(INDEX($D$3:$D$300,MATCH(ROWS($K$3:K208),$K$3:$K$300,0)),"")</f>
        <v>IDDOUCH  Fatima</v>
      </c>
    </row>
    <row r="209" spans="4:12" ht="16.5" thickTop="1" thickBot="1" x14ac:dyDescent="0.3">
      <c r="D209" s="16" t="s">
        <v>448</v>
      </c>
      <c r="E209" s="1" t="s">
        <v>449</v>
      </c>
      <c r="F209" s="1" t="s">
        <v>450</v>
      </c>
      <c r="G209" s="1" t="s">
        <v>403</v>
      </c>
      <c r="H209" s="1" t="s">
        <v>16</v>
      </c>
      <c r="J209" s="1">
        <f t="array" ref="J209">--ISNUMBER(IFERROR(SEARCH(Synthése!$E$3,D209,1),""))</f>
        <v>1</v>
      </c>
      <c r="K209" s="1">
        <f>IF(J209=1,COUNTIF($J$3:J209,1),"")</f>
        <v>207</v>
      </c>
      <c r="L209" s="1" t="str">
        <f t="array" ref="L209">IFERROR(INDEX($D$3:$D$300,MATCH(ROWS($K$3:K209),$K$3:$K$300,0)),"")</f>
        <v>BAINA  Anouar</v>
      </c>
    </row>
    <row r="210" spans="4:12" ht="16.5" thickTop="1" thickBot="1" x14ac:dyDescent="0.3">
      <c r="D210" s="16" t="s">
        <v>451</v>
      </c>
      <c r="E210" s="1" t="s">
        <v>452</v>
      </c>
      <c r="F210" s="1" t="s">
        <v>450</v>
      </c>
      <c r="G210" s="1" t="s">
        <v>403</v>
      </c>
      <c r="H210" s="1" t="s">
        <v>16</v>
      </c>
      <c r="J210" s="1">
        <f t="array" ref="J210">--ISNUMBER(IFERROR(SEARCH(Synthése!$E$3,D210,1),""))</f>
        <v>1</v>
      </c>
      <c r="K210" s="1">
        <f>IF(J210=1,COUNTIF($J$3:J210,1),"")</f>
        <v>208</v>
      </c>
      <c r="L210" s="1" t="str">
        <f t="array" ref="L210">IFERROR(INDEX($D$3:$D$300,MATCH(ROWS($K$3:K210),$K$3:$K$300,0)),"")</f>
        <v>FAYE  Oumy Ngom</v>
      </c>
    </row>
    <row r="211" spans="4:12" ht="16.5" thickTop="1" thickBot="1" x14ac:dyDescent="0.3">
      <c r="D211" s="16" t="s">
        <v>453</v>
      </c>
      <c r="E211" s="1" t="s">
        <v>454</v>
      </c>
      <c r="F211" s="1" t="s">
        <v>450</v>
      </c>
      <c r="G211" s="1" t="s">
        <v>403</v>
      </c>
      <c r="H211" s="1" t="s">
        <v>16</v>
      </c>
      <c r="J211" s="1">
        <f t="array" ref="J211">--ISNUMBER(IFERROR(SEARCH(Synthése!$E$3,D211,1),""))</f>
        <v>1</v>
      </c>
      <c r="K211" s="1">
        <f>IF(J211=1,COUNTIF($J$3:J211,1),"")</f>
        <v>209</v>
      </c>
      <c r="L211" s="1" t="str">
        <f t="array" ref="L211">IFERROR(INDEX($D$3:$D$300,MATCH(ROWS($K$3:K211),$K$3:$K$300,0)),"")</f>
        <v>TAHIRI  Souhaila</v>
      </c>
    </row>
    <row r="212" spans="4:12" ht="16.5" thickTop="1" thickBot="1" x14ac:dyDescent="0.3">
      <c r="D212" s="16" t="s">
        <v>455</v>
      </c>
      <c r="E212" s="1" t="s">
        <v>456</v>
      </c>
      <c r="F212" s="1" t="s">
        <v>450</v>
      </c>
      <c r="G212" s="1" t="s">
        <v>403</v>
      </c>
      <c r="H212" s="1" t="s">
        <v>16</v>
      </c>
      <c r="J212" s="1">
        <f t="array" ref="J212">--ISNUMBER(IFERROR(SEARCH(Synthése!$E$3,D212,1),""))</f>
        <v>1</v>
      </c>
      <c r="K212" s="1">
        <f>IF(J212=1,COUNTIF($J$3:J212,1),"")</f>
        <v>210</v>
      </c>
      <c r="L212" s="1" t="str">
        <f t="array" ref="L212">IFERROR(INDEX($D$3:$D$300,MATCH(ROWS($K$3:K212),$K$3:$K$300,0)),"")</f>
        <v>ESSAHLI  Omar</v>
      </c>
    </row>
    <row r="213" spans="4:12" ht="16.5" thickTop="1" thickBot="1" x14ac:dyDescent="0.3">
      <c r="D213" s="16" t="s">
        <v>457</v>
      </c>
      <c r="E213" s="1" t="s">
        <v>458</v>
      </c>
      <c r="F213" s="1" t="s">
        <v>450</v>
      </c>
      <c r="G213" s="1" t="s">
        <v>403</v>
      </c>
      <c r="H213" s="1" t="s">
        <v>16</v>
      </c>
      <c r="J213" s="1">
        <f t="array" ref="J213">--ISNUMBER(IFERROR(SEARCH(Synthése!$E$3,D213,1),""))</f>
        <v>1</v>
      </c>
      <c r="K213" s="1">
        <f>IF(J213=1,COUNTIF($J$3:J213,1),"")</f>
        <v>211</v>
      </c>
      <c r="L213" s="1" t="str">
        <f t="array" ref="L213">IFERROR(INDEX($D$3:$D$300,MATCH(ROWS($K$3:K213),$K$3:$K$300,0)),"")</f>
        <v>EL ISSAOUI  Mohamed</v>
      </c>
    </row>
    <row r="214" spans="4:12" ht="16.5" thickTop="1" thickBot="1" x14ac:dyDescent="0.3">
      <c r="D214" s="16" t="s">
        <v>459</v>
      </c>
      <c r="E214" s="1" t="s">
        <v>460</v>
      </c>
      <c r="F214" s="1" t="s">
        <v>450</v>
      </c>
      <c r="G214" s="1" t="s">
        <v>403</v>
      </c>
      <c r="H214" s="1" t="s">
        <v>16</v>
      </c>
      <c r="J214" s="1">
        <f t="array" ref="J214">--ISNUMBER(IFERROR(SEARCH(Synthése!$E$3,D214,1),""))</f>
        <v>1</v>
      </c>
      <c r="K214" s="1">
        <f>IF(J214=1,COUNTIF($J$3:J214,1),"")</f>
        <v>212</v>
      </c>
      <c r="L214" s="1" t="str">
        <f t="array" ref="L214">IFERROR(INDEX($D$3:$D$300,MATCH(ROWS($K$3:K214),$K$3:$K$300,0)),"")</f>
        <v>TAZICHERTI  Kaoutar</v>
      </c>
    </row>
    <row r="215" spans="4:12" ht="16.5" thickTop="1" thickBot="1" x14ac:dyDescent="0.3">
      <c r="D215" s="16" t="s">
        <v>461</v>
      </c>
      <c r="E215" s="1" t="s">
        <v>462</v>
      </c>
      <c r="F215" s="1" t="s">
        <v>450</v>
      </c>
      <c r="G215" s="1" t="s">
        <v>403</v>
      </c>
      <c r="H215" s="1" t="s">
        <v>16</v>
      </c>
      <c r="J215" s="1">
        <f t="array" ref="J215">--ISNUMBER(IFERROR(SEARCH(Synthése!$E$3,D215,1),""))</f>
        <v>1</v>
      </c>
      <c r="K215" s="1">
        <f>IF(J215=1,COUNTIF($J$3:J215,1),"")</f>
        <v>213</v>
      </c>
      <c r="L215" s="1" t="str">
        <f t="array" ref="L215">IFERROR(INDEX($D$3:$D$300,MATCH(ROWS($K$3:K215),$K$3:$K$300,0)),"")</f>
        <v>BOUSELHAM  Mohamed Achraf</v>
      </c>
    </row>
    <row r="216" spans="4:12" ht="16.5" thickTop="1" thickBot="1" x14ac:dyDescent="0.3">
      <c r="D216" s="16" t="s">
        <v>463</v>
      </c>
      <c r="E216" s="1" t="s">
        <v>464</v>
      </c>
      <c r="F216" s="1" t="s">
        <v>450</v>
      </c>
      <c r="G216" s="1" t="s">
        <v>403</v>
      </c>
      <c r="H216" s="1" t="s">
        <v>16</v>
      </c>
      <c r="J216" s="1">
        <f t="array" ref="J216">--ISNUMBER(IFERROR(SEARCH(Synthése!$E$3,D216,1),""))</f>
        <v>1</v>
      </c>
      <c r="K216" s="1">
        <f>IF(J216=1,COUNTIF($J$3:J216,1),"")</f>
        <v>214</v>
      </c>
      <c r="L216" s="1" t="str">
        <f t="array" ref="L216">IFERROR(INDEX($D$3:$D$300,MATCH(ROWS($K$3:K216),$K$3:$K$300,0)),"")</f>
        <v>LABIAD  Hala</v>
      </c>
    </row>
    <row r="217" spans="4:12" ht="16.5" thickTop="1" thickBot="1" x14ac:dyDescent="0.3">
      <c r="D217" s="16" t="s">
        <v>465</v>
      </c>
      <c r="E217" s="1" t="s">
        <v>466</v>
      </c>
      <c r="F217" s="1" t="s">
        <v>450</v>
      </c>
      <c r="G217" s="1" t="s">
        <v>403</v>
      </c>
      <c r="H217" s="1" t="s">
        <v>16</v>
      </c>
      <c r="J217" s="1">
        <f t="array" ref="J217">--ISNUMBER(IFERROR(SEARCH(Synthése!$E$3,D217,1),""))</f>
        <v>1</v>
      </c>
      <c r="K217" s="1">
        <f>IF(J217=1,COUNTIF($J$3:J217,1),"")</f>
        <v>215</v>
      </c>
      <c r="L217" s="1" t="str">
        <f t="array" ref="L217">IFERROR(INDEX($D$3:$D$300,MATCH(ROWS($K$3:K217),$K$3:$K$300,0)),"")</f>
        <v>WAGRI  Imane</v>
      </c>
    </row>
    <row r="218" spans="4:12" ht="16.5" thickTop="1" thickBot="1" x14ac:dyDescent="0.3">
      <c r="D218" s="16" t="s">
        <v>467</v>
      </c>
      <c r="E218" s="1" t="s">
        <v>468</v>
      </c>
      <c r="F218" s="1" t="s">
        <v>450</v>
      </c>
      <c r="G218" s="1" t="s">
        <v>403</v>
      </c>
      <c r="H218" s="1" t="s">
        <v>16</v>
      </c>
      <c r="J218" s="1">
        <f t="array" ref="J218">--ISNUMBER(IFERROR(SEARCH(Synthése!$E$3,D218,1),""))</f>
        <v>1</v>
      </c>
      <c r="K218" s="1">
        <f>IF(J218=1,COUNTIF($J$3:J218,1),"")</f>
        <v>216</v>
      </c>
      <c r="L218" s="1" t="str">
        <f t="array" ref="L218">IFERROR(INDEX($D$3:$D$300,MATCH(ROWS($K$3:K218),$K$3:$K$300,0)),"")</f>
        <v>LOUTFI  Nousk</v>
      </c>
    </row>
    <row r="219" spans="4:12" ht="16.5" thickTop="1" thickBot="1" x14ac:dyDescent="0.3">
      <c r="D219" s="16" t="s">
        <v>469</v>
      </c>
      <c r="E219" s="1" t="s">
        <v>470</v>
      </c>
      <c r="F219" s="1" t="s">
        <v>450</v>
      </c>
      <c r="G219" s="1" t="s">
        <v>403</v>
      </c>
      <c r="H219" s="1" t="s">
        <v>16</v>
      </c>
      <c r="J219" s="1">
        <f t="array" ref="J219">--ISNUMBER(IFERROR(SEARCH(Synthése!$E$3,D219,1),""))</f>
        <v>1</v>
      </c>
      <c r="K219" s="1">
        <f>IF(J219=1,COUNTIF($J$3:J219,1),"")</f>
        <v>217</v>
      </c>
      <c r="L219" s="1" t="str">
        <f t="array" ref="L219">IFERROR(INDEX($D$3:$D$300,MATCH(ROWS($K$3:K219),$K$3:$K$300,0)),"")</f>
        <v>EL IDRISSI  Khaoula</v>
      </c>
    </row>
    <row r="220" spans="4:12" ht="16.5" thickTop="1" thickBot="1" x14ac:dyDescent="0.3">
      <c r="D220" s="16" t="s">
        <v>471</v>
      </c>
      <c r="E220" s="1" t="s">
        <v>472</v>
      </c>
      <c r="F220" s="1" t="s">
        <v>473</v>
      </c>
      <c r="G220" s="1" t="s">
        <v>403</v>
      </c>
      <c r="H220" s="1" t="s">
        <v>16</v>
      </c>
      <c r="J220" s="1">
        <f t="array" ref="J220">--ISNUMBER(IFERROR(SEARCH(Synthése!$E$3,D220,1),""))</f>
        <v>1</v>
      </c>
      <c r="K220" s="1">
        <f>IF(J220=1,COUNTIF($J$3:J220,1),"")</f>
        <v>218</v>
      </c>
      <c r="L220" s="1" t="str">
        <f t="array" ref="L220">IFERROR(INDEX($D$3:$D$300,MATCH(ROWS($K$3:K220),$K$3:$K$300,0)),"")</f>
        <v>MELYANI  Zoubeir</v>
      </c>
    </row>
    <row r="221" spans="4:12" ht="16.5" thickTop="1" thickBot="1" x14ac:dyDescent="0.3">
      <c r="D221" s="16" t="s">
        <v>474</v>
      </c>
      <c r="E221" s="1" t="s">
        <v>475</v>
      </c>
      <c r="F221" s="1" t="s">
        <v>473</v>
      </c>
      <c r="G221" s="1" t="s">
        <v>403</v>
      </c>
      <c r="H221" s="1" t="s">
        <v>16</v>
      </c>
      <c r="J221" s="1">
        <f t="array" ref="J221">--ISNUMBER(IFERROR(SEARCH(Synthése!$E$3,D221,1),""))</f>
        <v>1</v>
      </c>
      <c r="K221" s="1">
        <f>IF(J221=1,COUNTIF($J$3:J221,1),"")</f>
        <v>219</v>
      </c>
      <c r="L221" s="1" t="str">
        <f t="array" ref="L221">IFERROR(INDEX($D$3:$D$300,MATCH(ROWS($K$3:K221),$K$3:$K$300,0)),"")</f>
        <v>BARKI  Meriem</v>
      </c>
    </row>
    <row r="222" spans="4:12" ht="16.5" thickTop="1" thickBot="1" x14ac:dyDescent="0.3">
      <c r="D222" s="16" t="s">
        <v>476</v>
      </c>
      <c r="E222" s="1" t="s">
        <v>477</v>
      </c>
      <c r="F222" s="1" t="s">
        <v>473</v>
      </c>
      <c r="G222" s="1" t="s">
        <v>403</v>
      </c>
      <c r="H222" s="1" t="s">
        <v>16</v>
      </c>
      <c r="J222" s="1">
        <f t="array" ref="J222">--ISNUMBER(IFERROR(SEARCH(Synthése!$E$3,D222,1),""))</f>
        <v>1</v>
      </c>
      <c r="K222" s="1">
        <f>IF(J222=1,COUNTIF($J$3:J222,1),"")</f>
        <v>220</v>
      </c>
      <c r="L222" s="1" t="str">
        <f t="array" ref="L222">IFERROR(INDEX($D$3:$D$300,MATCH(ROWS($K$3:K222),$K$3:$K$300,0)),"")</f>
        <v>HAILASS  Meriem</v>
      </c>
    </row>
    <row r="223" spans="4:12" ht="16.5" thickTop="1" thickBot="1" x14ac:dyDescent="0.3">
      <c r="D223" s="16" t="s">
        <v>478</v>
      </c>
      <c r="E223" s="1" t="s">
        <v>479</v>
      </c>
      <c r="F223" s="1" t="s">
        <v>473</v>
      </c>
      <c r="G223" s="1" t="s">
        <v>403</v>
      </c>
      <c r="H223" s="1" t="s">
        <v>16</v>
      </c>
      <c r="J223" s="1">
        <f t="array" ref="J223">--ISNUMBER(IFERROR(SEARCH(Synthése!$E$3,D223,1),""))</f>
        <v>1</v>
      </c>
      <c r="K223" s="1">
        <f>IF(J223=1,COUNTIF($J$3:J223,1),"")</f>
        <v>221</v>
      </c>
      <c r="L223" s="1" t="str">
        <f t="array" ref="L223">IFERROR(INDEX($D$3:$D$300,MATCH(ROWS($K$3:K223),$K$3:$K$300,0)),"")</f>
        <v>BEN LAMQADDEM  Omar</v>
      </c>
    </row>
    <row r="224" spans="4:12" ht="16.5" thickTop="1" thickBot="1" x14ac:dyDescent="0.3">
      <c r="D224" s="16" t="s">
        <v>480</v>
      </c>
      <c r="E224" s="1" t="s">
        <v>481</v>
      </c>
      <c r="F224" s="1" t="s">
        <v>473</v>
      </c>
      <c r="G224" s="1" t="s">
        <v>403</v>
      </c>
      <c r="H224" s="1" t="s">
        <v>16</v>
      </c>
      <c r="J224" s="1">
        <f t="array" ref="J224">--ISNUMBER(IFERROR(SEARCH(Synthése!$E$3,D224,1),""))</f>
        <v>1</v>
      </c>
      <c r="K224" s="1">
        <f>IF(J224=1,COUNTIF($J$3:J224,1),"")</f>
        <v>222</v>
      </c>
      <c r="L224" s="1" t="str">
        <f t="array" ref="L224">IFERROR(INDEX($D$3:$D$300,MATCH(ROWS($K$3:K224),$K$3:$K$300,0)),"")</f>
        <v>ZIATI  Boutaina</v>
      </c>
    </row>
    <row r="225" spans="4:12" ht="16.5" thickTop="1" thickBot="1" x14ac:dyDescent="0.3">
      <c r="D225" s="16" t="s">
        <v>482</v>
      </c>
      <c r="E225" s="1" t="s">
        <v>483</v>
      </c>
      <c r="F225" s="1" t="s">
        <v>473</v>
      </c>
      <c r="G225" s="1" t="s">
        <v>403</v>
      </c>
      <c r="H225" s="1" t="s">
        <v>16</v>
      </c>
      <c r="J225" s="1">
        <f t="array" ref="J225">--ISNUMBER(IFERROR(SEARCH(Synthése!$E$3,D225,1),""))</f>
        <v>1</v>
      </c>
      <c r="K225" s="1">
        <f>IF(J225=1,COUNTIF($J$3:J225,1),"")</f>
        <v>223</v>
      </c>
      <c r="L225" s="1" t="str">
        <f t="array" ref="L225">IFERROR(INDEX($D$3:$D$300,MATCH(ROWS($K$3:K225),$K$3:$K$300,0)),"")</f>
        <v>BENLZERGU  Sihame</v>
      </c>
    </row>
    <row r="226" spans="4:12" ht="16.5" thickTop="1" thickBot="1" x14ac:dyDescent="0.3">
      <c r="D226" s="16" t="s">
        <v>484</v>
      </c>
      <c r="E226" s="1" t="s">
        <v>485</v>
      </c>
      <c r="F226" s="1" t="s">
        <v>473</v>
      </c>
      <c r="G226" s="1" t="s">
        <v>403</v>
      </c>
      <c r="H226" s="1" t="s">
        <v>16</v>
      </c>
      <c r="J226" s="1">
        <f t="array" ref="J226">--ISNUMBER(IFERROR(SEARCH(Synthése!$E$3,D226,1),""))</f>
        <v>1</v>
      </c>
      <c r="K226" s="1">
        <f>IF(J226=1,COUNTIF($J$3:J226,1),"")</f>
        <v>224</v>
      </c>
      <c r="L226" s="1" t="str">
        <f t="array" ref="L226">IFERROR(INDEX($D$3:$D$300,MATCH(ROWS($K$3:K226),$K$3:$K$300,0)),"")</f>
        <v>BAINA   Jihane</v>
      </c>
    </row>
    <row r="227" spans="4:12" ht="16.5" thickTop="1" thickBot="1" x14ac:dyDescent="0.3">
      <c r="D227" s="16" t="s">
        <v>486</v>
      </c>
      <c r="E227" s="1" t="s">
        <v>487</v>
      </c>
      <c r="F227" s="1" t="s">
        <v>473</v>
      </c>
      <c r="G227" s="1" t="s">
        <v>403</v>
      </c>
      <c r="H227" s="1" t="s">
        <v>16</v>
      </c>
      <c r="J227" s="1">
        <f t="array" ref="J227">--ISNUMBER(IFERROR(SEARCH(Synthése!$E$3,D227,1),""))</f>
        <v>1</v>
      </c>
      <c r="K227" s="1">
        <f>IF(J227=1,COUNTIF($J$3:J227,1),"")</f>
        <v>225</v>
      </c>
      <c r="L227" s="1" t="str">
        <f t="array" ref="L227">IFERROR(INDEX($D$3:$D$300,MATCH(ROWS($K$3:K227),$K$3:$K$300,0)),"")</f>
        <v>RACHID  Zakaria</v>
      </c>
    </row>
    <row r="228" spans="4:12" ht="16.5" thickTop="1" thickBot="1" x14ac:dyDescent="0.3">
      <c r="D228" s="16" t="s">
        <v>488</v>
      </c>
      <c r="E228" s="1" t="s">
        <v>489</v>
      </c>
      <c r="F228" s="1" t="s">
        <v>473</v>
      </c>
      <c r="G228" s="1" t="s">
        <v>403</v>
      </c>
      <c r="H228" s="1" t="s">
        <v>16</v>
      </c>
      <c r="J228" s="1">
        <f t="array" ref="J228">--ISNUMBER(IFERROR(SEARCH(Synthése!$E$3,D228,1),""))</f>
        <v>1</v>
      </c>
      <c r="K228" s="1">
        <f>IF(J228=1,COUNTIF($J$3:J228,1),"")</f>
        <v>226</v>
      </c>
      <c r="L228" s="1" t="str">
        <f t="array" ref="L228">IFERROR(INDEX($D$3:$D$300,MATCH(ROWS($K$3:K228),$K$3:$K$300,0)),"")</f>
        <v>AKECHCHAR  Majdouline</v>
      </c>
    </row>
    <row r="229" spans="4:12" ht="16.5" thickTop="1" thickBot="1" x14ac:dyDescent="0.3">
      <c r="D229" s="16" t="s">
        <v>490</v>
      </c>
      <c r="E229" s="1" t="s">
        <v>491</v>
      </c>
      <c r="F229" s="1" t="s">
        <v>473</v>
      </c>
      <c r="G229" s="1" t="s">
        <v>403</v>
      </c>
      <c r="H229" s="1" t="s">
        <v>16</v>
      </c>
      <c r="J229" s="1">
        <f t="array" ref="J229">--ISNUMBER(IFERROR(SEARCH(Synthése!$E$3,D229,1),""))</f>
        <v>1</v>
      </c>
      <c r="K229" s="1">
        <f>IF(J229=1,COUNTIF($J$3:J229,1),"")</f>
        <v>227</v>
      </c>
      <c r="L229" s="1" t="str">
        <f t="array" ref="L229">IFERROR(INDEX($D$3:$D$300,MATCH(ROWS($K$3:K229),$K$3:$K$300,0)),"")</f>
        <v>TRICHA  Zaid</v>
      </c>
    </row>
    <row r="230" spans="4:12" ht="16.5" thickTop="1" thickBot="1" x14ac:dyDescent="0.3">
      <c r="D230" s="16" t="s">
        <v>492</v>
      </c>
      <c r="E230" s="1" t="s">
        <v>493</v>
      </c>
      <c r="F230" s="1" t="s">
        <v>473</v>
      </c>
      <c r="G230" s="1" t="s">
        <v>403</v>
      </c>
      <c r="H230" s="1" t="s">
        <v>16</v>
      </c>
      <c r="J230" s="1">
        <f t="array" ref="J230">--ISNUMBER(IFERROR(SEARCH(Synthése!$E$3,D230,1),""))</f>
        <v>1</v>
      </c>
      <c r="K230" s="1">
        <f>IF(J230=1,COUNTIF($J$3:J230,1),"")</f>
        <v>228</v>
      </c>
      <c r="L230" s="1" t="str">
        <f t="array" ref="L230">IFERROR(INDEX($D$3:$D$300,MATCH(ROWS($K$3:K230),$K$3:$K$300,0)),"")</f>
        <v>AOUSSAR  Samira</v>
      </c>
    </row>
    <row r="231" spans="4:12" ht="16.5" thickTop="1" thickBot="1" x14ac:dyDescent="0.3">
      <c r="D231" s="16" t="s">
        <v>494</v>
      </c>
      <c r="E231" s="1" t="s">
        <v>495</v>
      </c>
      <c r="F231" s="1" t="s">
        <v>496</v>
      </c>
      <c r="G231" s="1" t="s">
        <v>403</v>
      </c>
      <c r="H231" s="1" t="s">
        <v>404</v>
      </c>
      <c r="J231" s="1">
        <f t="array" ref="J231">--ISNUMBER(IFERROR(SEARCH(Synthése!$E$3,D231,1),""))</f>
        <v>1</v>
      </c>
      <c r="K231" s="1">
        <f>IF(J231=1,COUNTIF($J$3:J231,1),"")</f>
        <v>229</v>
      </c>
      <c r="L231" s="1" t="str">
        <f t="array" ref="L231">IFERROR(INDEX($D$3:$D$300,MATCH(ROWS($K$3:K231),$K$3:$K$300,0)),"")</f>
        <v>ABBASI  Mourad</v>
      </c>
    </row>
    <row r="232" spans="4:12" ht="16.5" thickTop="1" thickBot="1" x14ac:dyDescent="0.3">
      <c r="D232" s="16" t="s">
        <v>497</v>
      </c>
      <c r="E232" s="1" t="s">
        <v>498</v>
      </c>
      <c r="F232" s="1" t="s">
        <v>496</v>
      </c>
      <c r="G232" s="1" t="s">
        <v>403</v>
      </c>
      <c r="H232" s="1" t="s">
        <v>404</v>
      </c>
      <c r="J232" s="1">
        <f t="array" ref="J232">--ISNUMBER(IFERROR(SEARCH(Synthése!$E$3,D232,1),""))</f>
        <v>1</v>
      </c>
      <c r="K232" s="1">
        <f>IF(J232=1,COUNTIF($J$3:J232,1),"")</f>
        <v>230</v>
      </c>
      <c r="L232" s="1" t="str">
        <f t="array" ref="L232">IFERROR(INDEX($D$3:$D$300,MATCH(ROWS($K$3:K232),$K$3:$K$300,0)),"")</f>
        <v>BENZOUINA  Sophia</v>
      </c>
    </row>
    <row r="233" spans="4:12" ht="16.5" thickTop="1" thickBot="1" x14ac:dyDescent="0.3">
      <c r="D233" s="16" t="s">
        <v>499</v>
      </c>
      <c r="E233" s="1" t="s">
        <v>500</v>
      </c>
      <c r="F233" s="1" t="s">
        <v>496</v>
      </c>
      <c r="G233" s="1" t="s">
        <v>403</v>
      </c>
      <c r="H233" s="1" t="s">
        <v>404</v>
      </c>
      <c r="J233" s="1">
        <f t="array" ref="J233">--ISNUMBER(IFERROR(SEARCH(Synthése!$E$3,D233,1),""))</f>
        <v>1</v>
      </c>
      <c r="K233" s="1">
        <f>IF(J233=1,COUNTIF($J$3:J233,1),"")</f>
        <v>231</v>
      </c>
      <c r="L233" s="1" t="str">
        <f t="array" ref="L233">IFERROR(INDEX($D$3:$D$300,MATCH(ROWS($K$3:K233),$K$3:$K$300,0)),"")</f>
        <v xml:space="preserve">FEJR Mohammed  </v>
      </c>
    </row>
    <row r="234" spans="4:12" ht="16.5" thickTop="1" thickBot="1" x14ac:dyDescent="0.3">
      <c r="D234" s="16" t="s">
        <v>501</v>
      </c>
      <c r="E234" s="1" t="s">
        <v>502</v>
      </c>
      <c r="F234" s="1" t="s">
        <v>496</v>
      </c>
      <c r="G234" s="1" t="s">
        <v>403</v>
      </c>
      <c r="H234" s="1" t="s">
        <v>404</v>
      </c>
      <c r="J234" s="1">
        <f t="array" ref="J234">--ISNUMBER(IFERROR(SEARCH(Synthése!$E$3,D234,1),""))</f>
        <v>1</v>
      </c>
      <c r="K234" s="1">
        <f>IF(J234=1,COUNTIF($J$3:J234,1),"")</f>
        <v>232</v>
      </c>
      <c r="L234" s="1" t="str">
        <f t="array" ref="L234">IFERROR(INDEX($D$3:$D$300,MATCH(ROWS($K$3:K234),$K$3:$K$300,0)),"")</f>
        <v>EL ASSAM  Jaouad</v>
      </c>
    </row>
    <row r="235" spans="4:12" ht="16.5" thickTop="1" thickBot="1" x14ac:dyDescent="0.3">
      <c r="D235" s="16" t="s">
        <v>503</v>
      </c>
      <c r="E235" s="1" t="s">
        <v>504</v>
      </c>
      <c r="F235" s="1" t="s">
        <v>496</v>
      </c>
      <c r="G235" s="1" t="s">
        <v>403</v>
      </c>
      <c r="H235" s="1" t="s">
        <v>404</v>
      </c>
      <c r="J235" s="1">
        <f t="array" ref="J235">--ISNUMBER(IFERROR(SEARCH(Synthése!$E$3,D235,1),""))</f>
        <v>1</v>
      </c>
      <c r="K235" s="1">
        <f>IF(J235=1,COUNTIF($J$3:J235,1),"")</f>
        <v>233</v>
      </c>
      <c r="L235" s="1" t="str">
        <f t="array" ref="L235">IFERROR(INDEX($D$3:$D$300,MATCH(ROWS($K$3:K235),$K$3:$K$300,0)),"")</f>
        <v>ELHAMRAOUI  Nawal</v>
      </c>
    </row>
    <row r="236" spans="4:12" ht="16.5" thickTop="1" thickBot="1" x14ac:dyDescent="0.3">
      <c r="D236" s="16" t="s">
        <v>505</v>
      </c>
      <c r="E236" s="1" t="s">
        <v>506</v>
      </c>
      <c r="F236" s="1" t="s">
        <v>496</v>
      </c>
      <c r="G236" s="1" t="s">
        <v>403</v>
      </c>
      <c r="H236" s="1" t="s">
        <v>404</v>
      </c>
      <c r="J236" s="1">
        <f t="array" ref="J236">--ISNUMBER(IFERROR(SEARCH(Synthése!$E$3,D236,1),""))</f>
        <v>1</v>
      </c>
      <c r="K236" s="1">
        <f>IF(J236=1,COUNTIF($J$3:J236,1),"")</f>
        <v>234</v>
      </c>
      <c r="L236" s="1" t="str">
        <f t="array" ref="L236">IFERROR(INDEX($D$3:$D$300,MATCH(ROWS($K$3:K236),$K$3:$K$300,0)),"")</f>
        <v>BASLAM  Larbi</v>
      </c>
    </row>
    <row r="237" spans="4:12" ht="16.5" thickTop="1" thickBot="1" x14ac:dyDescent="0.3">
      <c r="D237" s="16" t="s">
        <v>507</v>
      </c>
      <c r="E237" s="1" t="s">
        <v>508</v>
      </c>
      <c r="F237" s="1" t="s">
        <v>496</v>
      </c>
      <c r="G237" s="1" t="s">
        <v>403</v>
      </c>
      <c r="H237" s="1" t="s">
        <v>404</v>
      </c>
      <c r="J237" s="1">
        <f t="array" ref="J237">--ISNUMBER(IFERROR(SEARCH(Synthése!$E$3,D237,1),""))</f>
        <v>1</v>
      </c>
      <c r="K237" s="1">
        <f>IF(J237=1,COUNTIF($J$3:J237,1),"")</f>
        <v>235</v>
      </c>
      <c r="L237" s="1" t="str">
        <f t="array" ref="L237">IFERROR(INDEX($D$3:$D$300,MATCH(ROWS($K$3:K237),$K$3:$K$300,0)),"")</f>
        <v>RIADE  AMAL</v>
      </c>
    </row>
    <row r="238" spans="4:12" ht="16.5" thickTop="1" thickBot="1" x14ac:dyDescent="0.3">
      <c r="D238" s="16" t="s">
        <v>509</v>
      </c>
      <c r="E238" s="1" t="s">
        <v>510</v>
      </c>
      <c r="F238" s="1" t="s">
        <v>496</v>
      </c>
      <c r="G238" s="1" t="s">
        <v>403</v>
      </c>
      <c r="H238" s="1" t="s">
        <v>404</v>
      </c>
      <c r="J238" s="1">
        <f t="array" ref="J238">--ISNUMBER(IFERROR(SEARCH(Synthése!$E$3,D238,1),""))</f>
        <v>1</v>
      </c>
      <c r="K238" s="1">
        <f>IF(J238=1,COUNTIF($J$3:J238,1),"")</f>
        <v>236</v>
      </c>
      <c r="L238" s="1" t="str">
        <f t="array" ref="L238">IFERROR(INDEX($D$3:$D$300,MATCH(ROWS($K$3:K238),$K$3:$K$300,0)),"")</f>
        <v>AMAKHIR  FATIMA</v>
      </c>
    </row>
    <row r="239" spans="4:12" ht="16.5" thickTop="1" thickBot="1" x14ac:dyDescent="0.3">
      <c r="D239" s="16" t="s">
        <v>511</v>
      </c>
      <c r="E239" s="1" t="s">
        <v>512</v>
      </c>
      <c r="F239" s="1" t="s">
        <v>496</v>
      </c>
      <c r="G239" s="1" t="s">
        <v>403</v>
      </c>
      <c r="H239" s="1" t="s">
        <v>404</v>
      </c>
      <c r="J239" s="1">
        <f t="array" ref="J239">--ISNUMBER(IFERROR(SEARCH(Synthése!$E$3,D239,1),""))</f>
        <v>1</v>
      </c>
      <c r="K239" s="1">
        <f>IF(J239=1,COUNTIF($J$3:J239,1),"")</f>
        <v>237</v>
      </c>
      <c r="L239" s="1" t="str">
        <f t="array" ref="L239">IFERROR(INDEX($D$3:$D$300,MATCH(ROWS($K$3:K239),$K$3:$K$300,0)),"")</f>
        <v>ERRAOUI  LAMYAA</v>
      </c>
    </row>
    <row r="240" spans="4:12" ht="16.5" thickTop="1" thickBot="1" x14ac:dyDescent="0.3">
      <c r="D240" s="16" t="s">
        <v>513</v>
      </c>
      <c r="E240" s="1" t="s">
        <v>514</v>
      </c>
      <c r="F240" s="1" t="s">
        <v>496</v>
      </c>
      <c r="G240" s="1" t="s">
        <v>403</v>
      </c>
      <c r="H240" s="1" t="s">
        <v>404</v>
      </c>
      <c r="J240" s="1">
        <f t="array" ref="J240">--ISNUMBER(IFERROR(SEARCH(Synthése!$E$3,D240,1),""))</f>
        <v>1</v>
      </c>
      <c r="K240" s="1">
        <f>IF(J240=1,COUNTIF($J$3:J240,1),"")</f>
        <v>238</v>
      </c>
      <c r="L240" s="1" t="str">
        <f t="array" ref="L240">IFERROR(INDEX($D$3:$D$300,MATCH(ROWS($K$3:K240),$K$3:$K$300,0)),"")</f>
        <v>AADISSI  ZAKIA</v>
      </c>
    </row>
    <row r="241" spans="4:12" ht="16.5" thickTop="1" thickBot="1" x14ac:dyDescent="0.3">
      <c r="D241" s="16" t="s">
        <v>515</v>
      </c>
      <c r="E241" s="1" t="s">
        <v>516</v>
      </c>
      <c r="F241" s="1" t="s">
        <v>496</v>
      </c>
      <c r="G241" s="1" t="s">
        <v>403</v>
      </c>
      <c r="H241" s="1" t="s">
        <v>404</v>
      </c>
      <c r="J241" s="1">
        <f t="array" ref="J241">--ISNUMBER(IFERROR(SEARCH(Synthése!$E$3,D241,1),""))</f>
        <v>1</v>
      </c>
      <c r="K241" s="1">
        <f>IF(J241=1,COUNTIF($J$3:J241,1),"")</f>
        <v>239</v>
      </c>
      <c r="L241" s="1" t="str">
        <f t="array" ref="L241">IFERROR(INDEX($D$3:$D$300,MATCH(ROWS($K$3:K241),$K$3:$K$300,0)),"")</f>
        <v>BELEMKADEM  WASSIM</v>
      </c>
    </row>
    <row r="242" spans="4:12" ht="16.5" thickTop="1" thickBot="1" x14ac:dyDescent="0.3">
      <c r="D242" s="16" t="s">
        <v>517</v>
      </c>
      <c r="E242" s="1" t="s">
        <v>518</v>
      </c>
      <c r="F242" s="1" t="s">
        <v>496</v>
      </c>
      <c r="G242" s="1" t="s">
        <v>403</v>
      </c>
      <c r="H242" s="1" t="s">
        <v>404</v>
      </c>
      <c r="J242" s="1">
        <f t="array" ref="J242">--ISNUMBER(IFERROR(SEARCH(Synthése!$E$3,D242,1),""))</f>
        <v>1</v>
      </c>
      <c r="K242" s="1">
        <f>IF(J242=1,COUNTIF($J$3:J242,1),"")</f>
        <v>240</v>
      </c>
      <c r="L242" s="1" t="str">
        <f t="array" ref="L242">IFERROR(INDEX($D$3:$D$300,MATCH(ROWS($K$3:K242),$K$3:$K$300,0)),"")</f>
        <v>MZIOUD  Chaimae</v>
      </c>
    </row>
    <row r="243" spans="4:12" ht="16.5" thickTop="1" thickBot="1" x14ac:dyDescent="0.3">
      <c r="D243" s="16" t="s">
        <v>519</v>
      </c>
      <c r="E243" s="1" t="s">
        <v>520</v>
      </c>
      <c r="F243" s="1" t="s">
        <v>496</v>
      </c>
      <c r="G243" s="1" t="s">
        <v>403</v>
      </c>
      <c r="H243" s="1" t="s">
        <v>404</v>
      </c>
      <c r="J243" s="1">
        <f t="array" ref="J243">--ISNUMBER(IFERROR(SEARCH(Synthése!$E$3,D243,1),""))</f>
        <v>1</v>
      </c>
      <c r="K243" s="1">
        <f>IF(J243=1,COUNTIF($J$3:J243,1),"")</f>
        <v>241</v>
      </c>
      <c r="L243" s="1" t="str">
        <f t="array" ref="L243">IFERROR(INDEX($D$3:$D$300,MATCH(ROWS($K$3:K243),$K$3:$K$300,0)),"")</f>
        <v>M'GOUNI IDRISSI  Lalla Zineb</v>
      </c>
    </row>
    <row r="244" spans="4:12" ht="16.5" thickTop="1" thickBot="1" x14ac:dyDescent="0.3">
      <c r="D244" s="16" t="s">
        <v>521</v>
      </c>
      <c r="E244" s="1" t="s">
        <v>522</v>
      </c>
      <c r="F244" s="1" t="s">
        <v>523</v>
      </c>
      <c r="G244" s="1" t="s">
        <v>403</v>
      </c>
      <c r="H244" s="1" t="s">
        <v>16</v>
      </c>
      <c r="J244" s="1">
        <f t="array" ref="J244">--ISNUMBER(IFERROR(SEARCH(Synthése!$E$3,D244,1),""))</f>
        <v>1</v>
      </c>
      <c r="K244" s="1">
        <f>IF(J244=1,COUNTIF($J$3:J244,1),"")</f>
        <v>242</v>
      </c>
      <c r="L244" s="1" t="str">
        <f t="array" ref="L244">IFERROR(INDEX($D$3:$D$300,MATCH(ROWS($K$3:K244),$K$3:$K$300,0)),"")</f>
        <v>SOUKANI  Khalil</v>
      </c>
    </row>
    <row r="245" spans="4:12" ht="16.5" thickTop="1" thickBot="1" x14ac:dyDescent="0.3">
      <c r="D245" s="16" t="s">
        <v>524</v>
      </c>
      <c r="E245" s="1" t="s">
        <v>525</v>
      </c>
      <c r="F245" s="1" t="s">
        <v>523</v>
      </c>
      <c r="G245" s="1" t="s">
        <v>403</v>
      </c>
      <c r="H245" s="1" t="s">
        <v>16</v>
      </c>
      <c r="J245" s="1">
        <f t="array" ref="J245">--ISNUMBER(IFERROR(SEARCH(Synthése!$E$3,D245,1),""))</f>
        <v>1</v>
      </c>
      <c r="K245" s="1">
        <f>IF(J245=1,COUNTIF($J$3:J245,1),"")</f>
        <v>243</v>
      </c>
      <c r="L245" s="1" t="str">
        <f t="array" ref="L245">IFERROR(INDEX($D$3:$D$300,MATCH(ROWS($K$3:K245),$K$3:$K$300,0)),"")</f>
        <v>OUADI  Kawtar</v>
      </c>
    </row>
    <row r="246" spans="4:12" ht="16.5" thickTop="1" thickBot="1" x14ac:dyDescent="0.3">
      <c r="D246" s="16" t="s">
        <v>526</v>
      </c>
      <c r="E246" s="1" t="s">
        <v>527</v>
      </c>
      <c r="F246" s="1" t="s">
        <v>523</v>
      </c>
      <c r="G246" s="1" t="s">
        <v>403</v>
      </c>
      <c r="H246" s="1" t="s">
        <v>16</v>
      </c>
      <c r="J246" s="1">
        <f t="array" ref="J246">--ISNUMBER(IFERROR(SEARCH(Synthése!$E$3,D246,1),""))</f>
        <v>1</v>
      </c>
      <c r="K246" s="1">
        <f>IF(J246=1,COUNTIF($J$3:J246,1),"")</f>
        <v>244</v>
      </c>
      <c r="L246" s="1" t="str">
        <f t="array" ref="L246">IFERROR(INDEX($D$3:$D$300,MATCH(ROWS($K$3:K246),$K$3:$K$300,0)),"")</f>
        <v>KIMAKHE  Mohammed Mahdi</v>
      </c>
    </row>
    <row r="247" spans="4:12" ht="16.5" thickTop="1" thickBot="1" x14ac:dyDescent="0.3">
      <c r="D247" s="16" t="s">
        <v>528</v>
      </c>
      <c r="E247" s="1" t="s">
        <v>529</v>
      </c>
      <c r="F247" s="1" t="s">
        <v>523</v>
      </c>
      <c r="G247" s="1" t="s">
        <v>403</v>
      </c>
      <c r="H247" s="1" t="s">
        <v>16</v>
      </c>
      <c r="J247" s="1">
        <f t="array" ref="J247">--ISNUMBER(IFERROR(SEARCH(Synthése!$E$3,D247,1),""))</f>
        <v>1</v>
      </c>
      <c r="K247" s="1">
        <f>IF(J247=1,COUNTIF($J$3:J247,1),"")</f>
        <v>245</v>
      </c>
      <c r="L247" s="1" t="str">
        <f t="array" ref="L247">IFERROR(INDEX($D$3:$D$300,MATCH(ROWS($K$3:K247),$K$3:$K$300,0)),"")</f>
        <v>AYOUB  Jihane</v>
      </c>
    </row>
    <row r="248" spans="4:12" ht="16.5" thickTop="1" thickBot="1" x14ac:dyDescent="0.3">
      <c r="D248" s="16" t="s">
        <v>530</v>
      </c>
      <c r="E248" s="1" t="s">
        <v>531</v>
      </c>
      <c r="F248" s="1" t="s">
        <v>523</v>
      </c>
      <c r="G248" s="1" t="s">
        <v>403</v>
      </c>
      <c r="H248" s="1" t="s">
        <v>16</v>
      </c>
      <c r="J248" s="1">
        <f t="array" ref="J248">--ISNUMBER(IFERROR(SEARCH(Synthése!$E$3,D248,1),""))</f>
        <v>1</v>
      </c>
      <c r="K248" s="1">
        <f>IF(J248=1,COUNTIF($J$3:J248,1),"")</f>
        <v>246</v>
      </c>
      <c r="L248" s="1" t="str">
        <f t="array" ref="L248">IFERROR(INDEX($D$3:$D$300,MATCH(ROWS($K$3:K248),$K$3:$K$300,0)),"")</f>
        <v>BOUZIANE   Nouha</v>
      </c>
    </row>
    <row r="249" spans="4:12" ht="16.5" thickTop="1" thickBot="1" x14ac:dyDescent="0.3">
      <c r="D249" s="16" t="s">
        <v>532</v>
      </c>
      <c r="E249" s="1" t="s">
        <v>533</v>
      </c>
      <c r="F249" s="1" t="s">
        <v>523</v>
      </c>
      <c r="G249" s="1" t="s">
        <v>403</v>
      </c>
      <c r="H249" s="1" t="s">
        <v>16</v>
      </c>
      <c r="J249" s="1">
        <f t="array" ref="J249">--ISNUMBER(IFERROR(SEARCH(Synthése!$E$3,D249,1),""))</f>
        <v>1</v>
      </c>
      <c r="K249" s="1">
        <f>IF(J249=1,COUNTIF($J$3:J249,1),"")</f>
        <v>247</v>
      </c>
      <c r="L249" s="1" t="str">
        <f t="array" ref="L249">IFERROR(INDEX($D$3:$D$300,MATCH(ROWS($K$3:K249),$K$3:$K$300,0)),"")</f>
        <v>FALIOUNE  Manar</v>
      </c>
    </row>
    <row r="250" spans="4:12" ht="16.5" thickTop="1" thickBot="1" x14ac:dyDescent="0.3">
      <c r="D250" s="16" t="s">
        <v>534</v>
      </c>
      <c r="E250" s="1" t="s">
        <v>535</v>
      </c>
      <c r="F250" s="1" t="s">
        <v>523</v>
      </c>
      <c r="G250" s="1" t="s">
        <v>403</v>
      </c>
      <c r="H250" s="1" t="s">
        <v>16</v>
      </c>
      <c r="J250" s="1">
        <f t="array" ref="J250">--ISNUMBER(IFERROR(SEARCH(Synthése!$E$3,D250,1),""))</f>
        <v>1</v>
      </c>
      <c r="K250" s="1">
        <f>IF(J250=1,COUNTIF($J$3:J250,1),"")</f>
        <v>248</v>
      </c>
      <c r="L250" s="1" t="str">
        <f t="array" ref="L250">IFERROR(INDEX($D$3:$D$300,MATCH(ROWS($K$3:K250),$K$3:$K$300,0)),"")</f>
        <v>DHAO  Nada</v>
      </c>
    </row>
    <row r="251" spans="4:12" ht="15.75" thickTop="1" x14ac:dyDescent="0.25">
      <c r="D251" s="1" t="s">
        <v>536</v>
      </c>
      <c r="E251" s="1" t="s">
        <v>537</v>
      </c>
      <c r="F251" s="1" t="s">
        <v>523</v>
      </c>
      <c r="G251" s="1" t="s">
        <v>403</v>
      </c>
      <c r="H251" s="1" t="s">
        <v>16</v>
      </c>
      <c r="J251" s="1">
        <f t="array" ref="J251">--ISNUMBER(IFERROR(SEARCH(Synthése!$E$3,D251,1),""))</f>
        <v>1</v>
      </c>
      <c r="K251" s="1">
        <f>IF(J251=1,COUNTIF($J$3:J251,1),"")</f>
        <v>249</v>
      </c>
      <c r="L251" s="1" t="str">
        <f t="array" ref="L251">IFERROR(INDEX($D$3:$D$300,MATCH(ROWS($K$3:K251),$K$3:$K$300,0)),"")</f>
        <v>FADLI  Safae</v>
      </c>
    </row>
    <row r="252" spans="4:12" x14ac:dyDescent="0.25">
      <c r="J252" s="1">
        <f t="array" ref="J252">--ISNUMBER(IFERROR(SEARCH(Synthése!$E$3,D252,1),""))</f>
        <v>0</v>
      </c>
      <c r="K252" s="1" t="str">
        <f>IF(J252=1,COUNTIF($J$3:J252,1),"")</f>
        <v/>
      </c>
      <c r="L252" s="1" t="str">
        <f t="array" ref="L252">IFERROR(INDEX($D$3:$D$300,MATCH(ROWS($K$3:K252),$K$3:$K$300,0)),"")</f>
        <v/>
      </c>
    </row>
    <row r="253" spans="4:12" x14ac:dyDescent="0.25">
      <c r="J253" s="1">
        <f t="array" ref="J253">--ISNUMBER(IFERROR(SEARCH(Synthése!$E$3,D253,1),""))</f>
        <v>0</v>
      </c>
      <c r="K253" s="1" t="str">
        <f>IF(J253=1,COUNTIF($J$3:J253,1),"")</f>
        <v/>
      </c>
      <c r="L253" s="1" t="str">
        <f t="array" ref="L253">IFERROR(INDEX($D$3:$D$300,MATCH(ROWS($K$3:K253),$K$3:$K$300,0)),"")</f>
        <v/>
      </c>
    </row>
    <row r="254" spans="4:12" x14ac:dyDescent="0.25">
      <c r="J254" s="1">
        <f t="array" ref="J254">--ISNUMBER(IFERROR(SEARCH(Synthése!$E$3,D254,1),""))</f>
        <v>0</v>
      </c>
      <c r="K254" s="1" t="str">
        <f>IF(J254=1,COUNTIF($J$3:J254,1),"")</f>
        <v/>
      </c>
      <c r="L254" s="1" t="str">
        <f t="array" ref="L254">IFERROR(INDEX($D$3:$D$300,MATCH(ROWS($K$3:K254),$K$3:$K$300,0)),"")</f>
        <v/>
      </c>
    </row>
    <row r="255" spans="4:12" x14ac:dyDescent="0.25">
      <c r="J255" s="1">
        <f t="array" ref="J255">--ISNUMBER(IFERROR(SEARCH(Synthése!$E$3,D255,1),""))</f>
        <v>0</v>
      </c>
      <c r="K255" s="1" t="str">
        <f>IF(J255=1,COUNTIF($J$3:J255,1),"")</f>
        <v/>
      </c>
      <c r="L255" s="1" t="str">
        <f t="array" ref="L255">IFERROR(INDEX($D$3:$D$300,MATCH(ROWS($K$3:K255),$K$3:$K$300,0)),"")</f>
        <v/>
      </c>
    </row>
    <row r="256" spans="4:12" x14ac:dyDescent="0.25">
      <c r="J256" s="1">
        <f t="array" ref="J256">--ISNUMBER(IFERROR(SEARCH(Synthése!$E$3,D256,1),""))</f>
        <v>0</v>
      </c>
      <c r="K256" s="1" t="str">
        <f>IF(J256=1,COUNTIF($J$3:J256,1),"")</f>
        <v/>
      </c>
      <c r="L256" s="1" t="str">
        <f t="array" ref="L256">IFERROR(INDEX($D$3:$D$300,MATCH(ROWS($K$3:K256),$K$3:$K$300,0)),"")</f>
        <v/>
      </c>
    </row>
    <row r="257" spans="10:12" x14ac:dyDescent="0.25">
      <c r="J257" s="1">
        <f t="array" ref="J257">--ISNUMBER(IFERROR(SEARCH(Synthése!$E$3,D257,1),""))</f>
        <v>0</v>
      </c>
      <c r="K257" s="1" t="str">
        <f>IF(J257=1,COUNTIF($J$3:J257,1),"")</f>
        <v/>
      </c>
      <c r="L257" s="1" t="str">
        <f t="array" ref="L257">IFERROR(INDEX($D$3:$D$300,MATCH(ROWS($K$3:K257),$K$3:$K$300,0)),"")</f>
        <v/>
      </c>
    </row>
    <row r="258" spans="10:12" x14ac:dyDescent="0.25">
      <c r="J258" s="1">
        <f t="array" ref="J258">--ISNUMBER(IFERROR(SEARCH(Synthése!$E$3,D258,1),""))</f>
        <v>0</v>
      </c>
      <c r="K258" s="1" t="str">
        <f>IF(J258=1,COUNTIF($J$3:J258,1),"")</f>
        <v/>
      </c>
      <c r="L258" s="1" t="str">
        <f t="array" ref="L258">IFERROR(INDEX($D$3:$D$300,MATCH(ROWS($K$3:K258),$K$3:$K$300,0)),"")</f>
        <v/>
      </c>
    </row>
    <row r="259" spans="10:12" x14ac:dyDescent="0.25">
      <c r="J259" s="1">
        <f t="array" ref="J259">--ISNUMBER(IFERROR(SEARCH(Synthése!$E$3,D259,1),""))</f>
        <v>0</v>
      </c>
      <c r="K259" s="1" t="str">
        <f>IF(J259=1,COUNTIF($J$3:J259,1),"")</f>
        <v/>
      </c>
      <c r="L259" s="1" t="str">
        <f t="array" ref="L259">IFERROR(INDEX($D$3:$D$300,MATCH(ROWS($K$3:K259),$K$3:$K$300,0)),"")</f>
        <v/>
      </c>
    </row>
    <row r="260" spans="10:12" x14ac:dyDescent="0.25">
      <c r="J260" s="1">
        <f t="array" ref="J260">--ISNUMBER(IFERROR(SEARCH(Synthése!$E$3,D260,1),""))</f>
        <v>0</v>
      </c>
      <c r="K260" s="1" t="str">
        <f>IF(J260=1,COUNTIF($J$3:J260,1),"")</f>
        <v/>
      </c>
      <c r="L260" s="1" t="str">
        <f t="array" ref="L260">IFERROR(INDEX($D$3:$D$300,MATCH(ROWS($K$3:K260),$K$3:$K$300,0)),"")</f>
        <v/>
      </c>
    </row>
    <row r="261" spans="10:12" x14ac:dyDescent="0.25">
      <c r="J261" s="1">
        <f t="array" ref="J261">--ISNUMBER(IFERROR(SEARCH(Synthése!$E$3,D261,1),""))</f>
        <v>0</v>
      </c>
      <c r="K261" s="1" t="str">
        <f>IF(J261=1,COUNTIF($J$3:J261,1),"")</f>
        <v/>
      </c>
      <c r="L261" s="1" t="str">
        <f t="array" ref="L261">IFERROR(INDEX($D$3:$D$300,MATCH(ROWS($K$3:K261),$K$3:$K$300,0)),"")</f>
        <v/>
      </c>
    </row>
    <row r="262" spans="10:12" x14ac:dyDescent="0.25">
      <c r="J262" s="1">
        <f t="array" ref="J262">--ISNUMBER(IFERROR(SEARCH(Synthése!$E$3,D262,1),""))</f>
        <v>0</v>
      </c>
      <c r="K262" s="1" t="str">
        <f>IF(J262=1,COUNTIF($J$3:J262,1),"")</f>
        <v/>
      </c>
      <c r="L262" s="1" t="str">
        <f t="array" ref="L262">IFERROR(INDEX($D$3:$D$300,MATCH(ROWS($K$3:K262),$K$3:$K$300,0)),"")</f>
        <v/>
      </c>
    </row>
    <row r="263" spans="10:12" x14ac:dyDescent="0.25">
      <c r="J263" s="1">
        <f t="array" ref="J263">--ISNUMBER(IFERROR(SEARCH(Synthése!$E$3,D263,1),""))</f>
        <v>0</v>
      </c>
      <c r="K263" s="1" t="str">
        <f>IF(J263=1,COUNTIF($J$3:J263,1),"")</f>
        <v/>
      </c>
      <c r="L263" s="1" t="str">
        <f t="array" ref="L263">IFERROR(INDEX($D$3:$D$300,MATCH(ROWS($K$3:K263),$K$3:$K$300,0)),"")</f>
        <v/>
      </c>
    </row>
    <row r="264" spans="10:12" x14ac:dyDescent="0.25">
      <c r="J264" s="1">
        <f t="array" ref="J264">--ISNUMBER(IFERROR(SEARCH(Synthése!$E$3,D264,1),""))</f>
        <v>0</v>
      </c>
      <c r="K264" s="1" t="str">
        <f>IF(J264=1,COUNTIF($J$3:J264,1),"")</f>
        <v/>
      </c>
      <c r="L264" s="1" t="str">
        <f t="array" ref="L264">IFERROR(INDEX($D$3:$D$300,MATCH(ROWS($K$3:K264),$K$3:$K$300,0)),"")</f>
        <v/>
      </c>
    </row>
    <row r="265" spans="10:12" x14ac:dyDescent="0.25">
      <c r="J265" s="1">
        <f t="array" ref="J265">--ISNUMBER(IFERROR(SEARCH(Synthése!$E$3,D265,1),""))</f>
        <v>0</v>
      </c>
      <c r="K265" s="1" t="str">
        <f>IF(J265=1,COUNTIF($J$3:J265,1),"")</f>
        <v/>
      </c>
      <c r="L265" s="1" t="str">
        <f t="array" ref="L265">IFERROR(INDEX($D$3:$D$300,MATCH(ROWS($K$3:K265),$K$3:$K$300,0)),"")</f>
        <v/>
      </c>
    </row>
    <row r="266" spans="10:12" x14ac:dyDescent="0.25">
      <c r="J266" s="1">
        <f t="array" ref="J266">--ISNUMBER(IFERROR(SEARCH(Synthése!$E$3,D266,1),""))</f>
        <v>0</v>
      </c>
      <c r="K266" s="1" t="str">
        <f>IF(J266=1,COUNTIF($J$3:J266,1),"")</f>
        <v/>
      </c>
      <c r="L266" s="1" t="str">
        <f t="array" ref="L266">IFERROR(INDEX($D$3:$D$300,MATCH(ROWS($K$3:K266),$K$3:$K$300,0)),"")</f>
        <v/>
      </c>
    </row>
    <row r="267" spans="10:12" x14ac:dyDescent="0.25">
      <c r="J267" s="1">
        <f t="array" ref="J267">--ISNUMBER(IFERROR(SEARCH(Synthése!$E$3,D267,1),""))</f>
        <v>0</v>
      </c>
      <c r="K267" s="1" t="str">
        <f>IF(J267=1,COUNTIF($J$3:J267,1),"")</f>
        <v/>
      </c>
      <c r="L267" s="1" t="str">
        <f t="array" ref="L267">IFERROR(INDEX($D$3:$D$300,MATCH(ROWS($K$3:K267),$K$3:$K$300,0)),"")</f>
        <v/>
      </c>
    </row>
    <row r="268" spans="10:12" x14ac:dyDescent="0.25">
      <c r="J268" s="1">
        <f t="array" ref="J268">--ISNUMBER(IFERROR(SEARCH(Synthése!$E$3,D268,1),""))</f>
        <v>0</v>
      </c>
      <c r="K268" s="1" t="str">
        <f>IF(J268=1,COUNTIF($J$3:J268,1),"")</f>
        <v/>
      </c>
      <c r="L268" s="1" t="str">
        <f t="array" ref="L268">IFERROR(INDEX($D$3:$D$300,MATCH(ROWS($K$3:K268),$K$3:$K$300,0)),"")</f>
        <v/>
      </c>
    </row>
    <row r="269" spans="10:12" x14ac:dyDescent="0.25">
      <c r="J269" s="1">
        <f t="array" ref="J269">--ISNUMBER(IFERROR(SEARCH(Synthése!$E$3,D269,1),""))</f>
        <v>0</v>
      </c>
      <c r="K269" s="1" t="str">
        <f>IF(J269=1,COUNTIF($J$3:J269,1),"")</f>
        <v/>
      </c>
      <c r="L269" s="1" t="str">
        <f t="array" ref="L269">IFERROR(INDEX($D$3:$D$300,MATCH(ROWS($K$3:K269),$K$3:$K$300,0)),"")</f>
        <v/>
      </c>
    </row>
    <row r="270" spans="10:12" x14ac:dyDescent="0.25">
      <c r="J270" s="1">
        <f t="array" ref="J270">--ISNUMBER(IFERROR(SEARCH(Synthése!$E$3,D270,1),""))</f>
        <v>0</v>
      </c>
      <c r="K270" s="1" t="str">
        <f>IF(J270=1,COUNTIF($J$3:J270,1),"")</f>
        <v/>
      </c>
      <c r="L270" s="1" t="str">
        <f t="array" ref="L270">IFERROR(INDEX($D$3:$D$300,MATCH(ROWS($K$3:K270),$K$3:$K$300,0)),"")</f>
        <v/>
      </c>
    </row>
    <row r="271" spans="10:12" x14ac:dyDescent="0.25">
      <c r="J271" s="1">
        <f t="array" ref="J271">--ISNUMBER(IFERROR(SEARCH(Synthése!$E$3,D271,1),""))</f>
        <v>0</v>
      </c>
      <c r="K271" s="1" t="str">
        <f>IF(J271=1,COUNTIF($J$3:J271,1),"")</f>
        <v/>
      </c>
      <c r="L271" s="1" t="str">
        <f t="array" ref="L271">IFERROR(INDEX($D$3:$D$300,MATCH(ROWS($K$3:K271),$K$3:$K$300,0)),"")</f>
        <v/>
      </c>
    </row>
    <row r="272" spans="10:12" x14ac:dyDescent="0.25">
      <c r="J272" s="1">
        <f t="array" ref="J272">--ISNUMBER(IFERROR(SEARCH(Synthése!$E$3,D272,1),""))</f>
        <v>0</v>
      </c>
      <c r="K272" s="1" t="str">
        <f>IF(J272=1,COUNTIF($J$3:J272,1),"")</f>
        <v/>
      </c>
      <c r="L272" s="1" t="str">
        <f t="array" ref="L272">IFERROR(INDEX($D$3:$D$300,MATCH(ROWS($K$3:K272),$K$3:$K$300,0)),"")</f>
        <v/>
      </c>
    </row>
    <row r="273" spans="10:12" x14ac:dyDescent="0.25">
      <c r="J273" s="1">
        <f t="array" ref="J273">--ISNUMBER(IFERROR(SEARCH(Synthése!$E$3,D273,1),""))</f>
        <v>0</v>
      </c>
      <c r="K273" s="1" t="str">
        <f>IF(J273=1,COUNTIF($J$3:J273,1),"")</f>
        <v/>
      </c>
      <c r="L273" s="1" t="str">
        <f t="array" ref="L273">IFERROR(INDEX($D$3:$D$300,MATCH(ROWS($K$3:K273),$K$3:$K$300,0)),"")</f>
        <v/>
      </c>
    </row>
    <row r="274" spans="10:12" x14ac:dyDescent="0.25">
      <c r="J274" s="1">
        <f t="array" ref="J274">--ISNUMBER(IFERROR(SEARCH(Synthése!$E$3,D274,1),""))</f>
        <v>0</v>
      </c>
      <c r="K274" s="1" t="str">
        <f>IF(J274=1,COUNTIF($J$3:J274,1),"")</f>
        <v/>
      </c>
      <c r="L274" s="1" t="str">
        <f t="array" ref="L274">IFERROR(INDEX($D$3:$D$300,MATCH(ROWS($K$3:K274),$K$3:$K$300,0)),"")</f>
        <v/>
      </c>
    </row>
    <row r="275" spans="10:12" x14ac:dyDescent="0.25">
      <c r="J275" s="1">
        <f t="array" ref="J275">--ISNUMBER(IFERROR(SEARCH(Synthése!$E$3,D275,1),""))</f>
        <v>0</v>
      </c>
      <c r="K275" s="1" t="str">
        <f>IF(J275=1,COUNTIF($J$3:J275,1),"")</f>
        <v/>
      </c>
      <c r="L275" s="1" t="str">
        <f t="array" ref="L275">IFERROR(INDEX($D$3:$D$300,MATCH(ROWS($K$3:K275),$K$3:$K$300,0)),"")</f>
        <v/>
      </c>
    </row>
    <row r="276" spans="10:12" x14ac:dyDescent="0.25">
      <c r="J276" s="1">
        <f t="array" ref="J276">--ISNUMBER(IFERROR(SEARCH(Synthése!$E$3,D276,1),""))</f>
        <v>0</v>
      </c>
      <c r="K276" s="1" t="str">
        <f>IF(J276=1,COUNTIF($J$3:J276,1),"")</f>
        <v/>
      </c>
      <c r="L276" s="1" t="str">
        <f t="array" ref="L276">IFERROR(INDEX($D$3:$D$300,MATCH(ROWS($K$3:K276),$K$3:$K$300,0)),"")</f>
        <v/>
      </c>
    </row>
    <row r="277" spans="10:12" x14ac:dyDescent="0.25">
      <c r="J277" s="1">
        <f t="array" ref="J277">--ISNUMBER(IFERROR(SEARCH(Synthése!$E$3,D277,1),""))</f>
        <v>0</v>
      </c>
      <c r="K277" s="1" t="str">
        <f>IF(J277=1,COUNTIF($J$3:J277,1),"")</f>
        <v/>
      </c>
      <c r="L277" s="1" t="str">
        <f t="array" ref="L277">IFERROR(INDEX($D$3:$D$300,MATCH(ROWS($K$3:K277),$K$3:$K$300,0)),"")</f>
        <v/>
      </c>
    </row>
    <row r="278" spans="10:12" x14ac:dyDescent="0.25">
      <c r="J278" s="1">
        <f t="array" ref="J278">--ISNUMBER(IFERROR(SEARCH(Synthése!$E$3,D278,1),""))</f>
        <v>0</v>
      </c>
      <c r="K278" s="1" t="str">
        <f>IF(J278=1,COUNTIF($J$3:J278,1),"")</f>
        <v/>
      </c>
      <c r="L278" s="1" t="str">
        <f t="array" ref="L278">IFERROR(INDEX($D$3:$D$300,MATCH(ROWS($K$3:K278),$K$3:$K$300,0)),"")</f>
        <v/>
      </c>
    </row>
    <row r="279" spans="10:12" x14ac:dyDescent="0.25">
      <c r="J279" s="1">
        <f t="array" ref="J279">--ISNUMBER(IFERROR(SEARCH(Synthése!$E$3,D279,1),""))</f>
        <v>0</v>
      </c>
      <c r="K279" s="1" t="str">
        <f>IF(J279=1,COUNTIF($J$3:J279,1),"")</f>
        <v/>
      </c>
      <c r="L279" s="1" t="str">
        <f t="array" ref="L279">IFERROR(INDEX($D$3:$D$300,MATCH(ROWS($K$3:K279),$K$3:$K$300,0)),"")</f>
        <v/>
      </c>
    </row>
    <row r="280" spans="10:12" x14ac:dyDescent="0.25">
      <c r="J280" s="1">
        <f t="array" ref="J280">--ISNUMBER(IFERROR(SEARCH(Synthése!$E$3,D280,1),""))</f>
        <v>0</v>
      </c>
      <c r="K280" s="1" t="str">
        <f>IF(J280=1,COUNTIF($J$3:J280,1),"")</f>
        <v/>
      </c>
      <c r="L280" s="1" t="str">
        <f t="array" ref="L280">IFERROR(INDEX($D$3:$D$300,MATCH(ROWS($K$3:K280),$K$3:$K$300,0)),"")</f>
        <v/>
      </c>
    </row>
    <row r="281" spans="10:12" x14ac:dyDescent="0.25">
      <c r="J281" s="1">
        <f t="array" ref="J281">--ISNUMBER(IFERROR(SEARCH(Synthése!$E$3,D281,1),""))</f>
        <v>0</v>
      </c>
      <c r="K281" s="1" t="str">
        <f>IF(J281=1,COUNTIF($J$3:J281,1),"")</f>
        <v/>
      </c>
      <c r="L281" s="1" t="str">
        <f t="array" ref="L281">IFERROR(INDEX($D$3:$D$300,MATCH(ROWS($K$3:K281),$K$3:$K$300,0)),"")</f>
        <v/>
      </c>
    </row>
    <row r="282" spans="10:12" x14ac:dyDescent="0.25">
      <c r="J282" s="1">
        <f t="array" ref="J282">--ISNUMBER(IFERROR(SEARCH(Synthése!$E$3,D282,1),""))</f>
        <v>0</v>
      </c>
      <c r="K282" s="1" t="str">
        <f>IF(J282=1,COUNTIF($J$3:J282,1),"")</f>
        <v/>
      </c>
      <c r="L282" s="1" t="str">
        <f t="array" ref="L282">IFERROR(INDEX($D$3:$D$300,MATCH(ROWS($K$3:K282),$K$3:$K$300,0)),"")</f>
        <v/>
      </c>
    </row>
    <row r="283" spans="10:12" x14ac:dyDescent="0.25">
      <c r="J283" s="1">
        <f t="array" ref="J283">--ISNUMBER(IFERROR(SEARCH(Synthése!$E$3,D283,1),""))</f>
        <v>0</v>
      </c>
      <c r="K283" s="1" t="str">
        <f>IF(J283=1,COUNTIF($J$3:J283,1),"")</f>
        <v/>
      </c>
      <c r="L283" s="1" t="str">
        <f t="array" ref="L283">IFERROR(INDEX($D$3:$D$300,MATCH(ROWS($K$3:K283),$K$3:$K$300,0)),"")</f>
        <v/>
      </c>
    </row>
    <row r="284" spans="10:12" x14ac:dyDescent="0.25">
      <c r="J284" s="1">
        <f t="array" ref="J284">--ISNUMBER(IFERROR(SEARCH(Synthése!$E$3,D284,1),""))</f>
        <v>0</v>
      </c>
      <c r="K284" s="1" t="str">
        <f>IF(J284=1,COUNTIF($J$3:J284,1),"")</f>
        <v/>
      </c>
      <c r="L284" s="1" t="str">
        <f t="array" ref="L284">IFERROR(INDEX($D$3:$D$300,MATCH(ROWS($K$3:K284),$K$3:$K$300,0)),"")</f>
        <v/>
      </c>
    </row>
    <row r="285" spans="10:12" x14ac:dyDescent="0.25">
      <c r="J285" s="1">
        <f t="array" ref="J285">--ISNUMBER(IFERROR(SEARCH(Synthése!$E$3,D285,1),""))</f>
        <v>0</v>
      </c>
      <c r="K285" s="1" t="str">
        <f>IF(J285=1,COUNTIF($J$3:J285,1),"")</f>
        <v/>
      </c>
      <c r="L285" s="1" t="str">
        <f t="array" ref="L285">IFERROR(INDEX($D$3:$D$300,MATCH(ROWS($K$3:K285),$K$3:$K$300,0)),"")</f>
        <v/>
      </c>
    </row>
    <row r="286" spans="10:12" x14ac:dyDescent="0.25">
      <c r="J286" s="1">
        <f t="array" ref="J286">--ISNUMBER(IFERROR(SEARCH(Synthése!$E$3,D286,1),""))</f>
        <v>0</v>
      </c>
      <c r="K286" s="1" t="str">
        <f>IF(J286=1,COUNTIF($J$3:J286,1),"")</f>
        <v/>
      </c>
      <c r="L286" s="1" t="str">
        <f t="array" ref="L286">IFERROR(INDEX($D$3:$D$300,MATCH(ROWS($K$3:K286),$K$3:$K$300,0)),"")</f>
        <v/>
      </c>
    </row>
    <row r="287" spans="10:12" x14ac:dyDescent="0.25">
      <c r="J287" s="1">
        <f t="array" ref="J287">--ISNUMBER(IFERROR(SEARCH(Synthése!$E$3,D287,1),""))</f>
        <v>0</v>
      </c>
      <c r="K287" s="1" t="str">
        <f>IF(J287=1,COUNTIF($J$3:J287,1),"")</f>
        <v/>
      </c>
      <c r="L287" s="1" t="str">
        <f t="array" ref="L287">IFERROR(INDEX($D$3:$D$300,MATCH(ROWS($K$3:K287),$K$3:$K$300,0)),"")</f>
        <v/>
      </c>
    </row>
    <row r="288" spans="10:12" x14ac:dyDescent="0.25">
      <c r="J288" s="1">
        <f t="array" ref="J288">--ISNUMBER(IFERROR(SEARCH(Synthése!$E$3,D288,1),""))</f>
        <v>0</v>
      </c>
      <c r="K288" s="1" t="str">
        <f>IF(J288=1,COUNTIF($J$3:J288,1),"")</f>
        <v/>
      </c>
      <c r="L288" s="1" t="str">
        <f t="array" ref="L288">IFERROR(INDEX($D$3:$D$300,MATCH(ROWS($K$3:K288),$K$3:$K$300,0)),"")</f>
        <v/>
      </c>
    </row>
    <row r="289" spans="10:12" x14ac:dyDescent="0.25">
      <c r="J289" s="1">
        <f t="array" ref="J289">--ISNUMBER(IFERROR(SEARCH(Synthése!$E$3,D289,1),""))</f>
        <v>0</v>
      </c>
      <c r="K289" s="1" t="str">
        <f>IF(J289=1,COUNTIF($J$3:J289,1),"")</f>
        <v/>
      </c>
      <c r="L289" s="1" t="str">
        <f t="array" ref="L289">IFERROR(INDEX($D$3:$D$300,MATCH(ROWS($K$3:K289),$K$3:$K$300,0)),"")</f>
        <v/>
      </c>
    </row>
    <row r="290" spans="10:12" x14ac:dyDescent="0.25">
      <c r="J290" s="1">
        <f t="array" ref="J290">--ISNUMBER(IFERROR(SEARCH(Synthése!$E$3,D290,1),""))</f>
        <v>0</v>
      </c>
      <c r="K290" s="1" t="str">
        <f>IF(J290=1,COUNTIF($J$3:J290,1),"")</f>
        <v/>
      </c>
      <c r="L290" s="1" t="str">
        <f t="array" ref="L290">IFERROR(INDEX($D$3:$D$300,MATCH(ROWS($K$3:K290),$K$3:$K$300,0)),"")</f>
        <v/>
      </c>
    </row>
    <row r="291" spans="10:12" x14ac:dyDescent="0.25">
      <c r="J291" s="1">
        <f t="array" ref="J291">--ISNUMBER(IFERROR(SEARCH(Synthése!$E$3,D291,1),""))</f>
        <v>0</v>
      </c>
      <c r="K291" s="1" t="str">
        <f>IF(J291=1,COUNTIF($J$3:J291,1),"")</f>
        <v/>
      </c>
      <c r="L291" s="1" t="str">
        <f t="array" ref="L291">IFERROR(INDEX($D$3:$D$300,MATCH(ROWS($K$3:K291),$K$3:$K$300,0)),"")</f>
        <v/>
      </c>
    </row>
    <row r="292" spans="10:12" x14ac:dyDescent="0.25">
      <c r="J292" s="1">
        <f t="array" ref="J292">--ISNUMBER(IFERROR(SEARCH(Synthése!$E$3,D292,1),""))</f>
        <v>0</v>
      </c>
      <c r="K292" s="1" t="str">
        <f>IF(J292=1,COUNTIF($J$3:J292,1),"")</f>
        <v/>
      </c>
      <c r="L292" s="1" t="str">
        <f t="array" ref="L292">IFERROR(INDEX($D$3:$D$300,MATCH(ROWS($K$3:K292),$K$3:$K$300,0)),"")</f>
        <v/>
      </c>
    </row>
    <row r="293" spans="10:12" x14ac:dyDescent="0.25">
      <c r="L293" s="17"/>
    </row>
    <row r="294" spans="10:12" x14ac:dyDescent="0.25">
      <c r="L294" s="17"/>
    </row>
    <row r="295" spans="10:12" x14ac:dyDescent="0.25">
      <c r="L295" s="17"/>
    </row>
    <row r="296" spans="10:12" x14ac:dyDescent="0.25">
      <c r="L296" s="17"/>
    </row>
    <row r="297" spans="10:12" x14ac:dyDescent="0.25">
      <c r="L297" s="17"/>
    </row>
  </sheetData>
  <dataValidations disablePrompts="1" count="1">
    <dataValidation type="list" allowBlank="1" showInputMessage="1" showErrorMessage="1" sqref="C3:C4" xr:uid="{00000000-0002-0000-0100-000000000000}">
      <formula1>"Justifiée, Non justifiée"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C6:K30"/>
  <sheetViews>
    <sheetView topLeftCell="A5" workbookViewId="0">
      <selection activeCell="E30" sqref="E30"/>
    </sheetView>
  </sheetViews>
  <sheetFormatPr baseColWidth="10" defaultRowHeight="15" x14ac:dyDescent="0.25"/>
  <cols>
    <col min="1" max="1" width="3" customWidth="1"/>
    <col min="2" max="2" width="1.85546875" customWidth="1"/>
    <col min="3" max="3" width="24.28515625" bestFit="1" customWidth="1"/>
    <col min="4" max="4" width="3.42578125" customWidth="1"/>
    <col min="5" max="5" width="26.7109375" customWidth="1"/>
    <col min="6" max="6" width="42.28515625" customWidth="1"/>
    <col min="7" max="7" width="40.42578125" customWidth="1"/>
    <col min="8" max="8" width="46" customWidth="1"/>
    <col min="9" max="9" width="38.28515625" customWidth="1"/>
    <col min="10" max="10" width="26" bestFit="1" customWidth="1"/>
    <col min="11" max="11" width="45.42578125" bestFit="1" customWidth="1"/>
  </cols>
  <sheetData>
    <row r="6" spans="3:11" x14ac:dyDescent="0.25">
      <c r="C6" s="28" t="s">
        <v>540</v>
      </c>
      <c r="E6" s="29" t="s">
        <v>546</v>
      </c>
      <c r="F6" s="29" t="s">
        <v>547</v>
      </c>
      <c r="G6" s="29" t="s">
        <v>556</v>
      </c>
      <c r="H6" s="29" t="s">
        <v>5</v>
      </c>
      <c r="I6" s="29" t="s">
        <v>6</v>
      </c>
      <c r="J6" s="29" t="s">
        <v>557</v>
      </c>
      <c r="K6" s="29" t="s">
        <v>558</v>
      </c>
    </row>
    <row r="7" spans="3:11" x14ac:dyDescent="0.25">
      <c r="C7" t="s">
        <v>546</v>
      </c>
      <c r="E7" s="30" t="s">
        <v>559</v>
      </c>
      <c r="F7" t="s">
        <v>560</v>
      </c>
      <c r="G7" t="s">
        <v>561</v>
      </c>
      <c r="H7" s="31" t="s">
        <v>562</v>
      </c>
      <c r="I7" t="s">
        <v>563</v>
      </c>
      <c r="J7" t="s">
        <v>564</v>
      </c>
      <c r="K7" t="s">
        <v>565</v>
      </c>
    </row>
    <row r="8" spans="3:11" x14ac:dyDescent="0.25">
      <c r="C8" t="s">
        <v>547</v>
      </c>
      <c r="E8" s="32" t="s">
        <v>566</v>
      </c>
      <c r="F8" t="s">
        <v>567</v>
      </c>
      <c r="G8" t="s">
        <v>568</v>
      </c>
      <c r="H8" s="31" t="s">
        <v>569</v>
      </c>
      <c r="I8" t="s">
        <v>570</v>
      </c>
      <c r="J8" t="s">
        <v>571</v>
      </c>
      <c r="K8" t="s">
        <v>572</v>
      </c>
    </row>
    <row r="9" spans="3:11" x14ac:dyDescent="0.25">
      <c r="C9" t="s">
        <v>556</v>
      </c>
      <c r="E9" s="32" t="s">
        <v>573</v>
      </c>
      <c r="F9" t="s">
        <v>574</v>
      </c>
      <c r="G9" t="s">
        <v>575</v>
      </c>
      <c r="H9" s="31" t="s">
        <v>576</v>
      </c>
      <c r="I9" t="s">
        <v>577</v>
      </c>
      <c r="J9" t="s">
        <v>578</v>
      </c>
      <c r="K9" t="s">
        <v>579</v>
      </c>
    </row>
    <row r="10" spans="3:11" x14ac:dyDescent="0.25">
      <c r="C10" t="s">
        <v>5</v>
      </c>
      <c r="E10" s="33" t="s">
        <v>580</v>
      </c>
      <c r="F10" t="s">
        <v>581</v>
      </c>
      <c r="G10" t="s">
        <v>582</v>
      </c>
      <c r="H10" t="s">
        <v>583</v>
      </c>
      <c r="I10" t="s">
        <v>584</v>
      </c>
      <c r="J10" t="s">
        <v>585</v>
      </c>
      <c r="K10" t="s">
        <v>586</v>
      </c>
    </row>
    <row r="11" spans="3:11" x14ac:dyDescent="0.25">
      <c r="C11" t="s">
        <v>663</v>
      </c>
      <c r="E11" t="s">
        <v>562</v>
      </c>
      <c r="F11" t="s">
        <v>587</v>
      </c>
      <c r="G11" t="s">
        <v>588</v>
      </c>
      <c r="H11" t="s">
        <v>589</v>
      </c>
      <c r="I11" s="31" t="s">
        <v>590</v>
      </c>
      <c r="J11" t="s">
        <v>591</v>
      </c>
      <c r="K11" t="s">
        <v>592</v>
      </c>
    </row>
    <row r="12" spans="3:11" x14ac:dyDescent="0.25">
      <c r="C12" t="s">
        <v>557</v>
      </c>
      <c r="E12" t="s">
        <v>569</v>
      </c>
      <c r="F12" s="31" t="s">
        <v>593</v>
      </c>
      <c r="G12" t="s">
        <v>594</v>
      </c>
      <c r="H12" t="s">
        <v>595</v>
      </c>
      <c r="I12" t="s">
        <v>596</v>
      </c>
      <c r="K12" t="s">
        <v>597</v>
      </c>
    </row>
    <row r="13" spans="3:11" x14ac:dyDescent="0.25">
      <c r="C13" t="s">
        <v>558</v>
      </c>
      <c r="E13" s="32" t="s">
        <v>598</v>
      </c>
      <c r="G13" t="s">
        <v>599</v>
      </c>
      <c r="H13" s="31" t="s">
        <v>600</v>
      </c>
      <c r="I13" t="s">
        <v>601</v>
      </c>
      <c r="K13" t="s">
        <v>602</v>
      </c>
    </row>
    <row r="14" spans="3:11" x14ac:dyDescent="0.25">
      <c r="H14" s="31" t="s">
        <v>603</v>
      </c>
      <c r="I14" s="31" t="s">
        <v>604</v>
      </c>
      <c r="K14" t="s">
        <v>605</v>
      </c>
    </row>
    <row r="15" spans="3:11" x14ac:dyDescent="0.25">
      <c r="H15" t="s">
        <v>606</v>
      </c>
      <c r="I15" s="31" t="s">
        <v>607</v>
      </c>
      <c r="K15" t="s">
        <v>608</v>
      </c>
    </row>
    <row r="16" spans="3:11" x14ac:dyDescent="0.25">
      <c r="H16" s="31" t="s">
        <v>609</v>
      </c>
      <c r="I16" s="31" t="s">
        <v>610</v>
      </c>
      <c r="K16" t="s">
        <v>611</v>
      </c>
    </row>
    <row r="17" spans="3:11" x14ac:dyDescent="0.25">
      <c r="H17" t="s">
        <v>612</v>
      </c>
      <c r="I17" s="31" t="s">
        <v>613</v>
      </c>
      <c r="K17" t="s">
        <v>589</v>
      </c>
    </row>
    <row r="18" spans="3:11" x14ac:dyDescent="0.25">
      <c r="H18" t="s">
        <v>614</v>
      </c>
      <c r="K18" t="s">
        <v>615</v>
      </c>
    </row>
    <row r="19" spans="3:11" x14ac:dyDescent="0.25">
      <c r="H19" s="31" t="s">
        <v>616</v>
      </c>
      <c r="K19" t="s">
        <v>617</v>
      </c>
    </row>
    <row r="20" spans="3:11" x14ac:dyDescent="0.25">
      <c r="H20" s="31" t="s">
        <v>618</v>
      </c>
      <c r="K20" t="s">
        <v>619</v>
      </c>
    </row>
    <row r="21" spans="3:11" x14ac:dyDescent="0.25">
      <c r="H21" s="31" t="s">
        <v>620</v>
      </c>
      <c r="K21" t="s">
        <v>621</v>
      </c>
    </row>
    <row r="22" spans="3:11" x14ac:dyDescent="0.25">
      <c r="H22" s="31" t="s">
        <v>622</v>
      </c>
      <c r="K22" t="s">
        <v>623</v>
      </c>
    </row>
    <row r="23" spans="3:11" x14ac:dyDescent="0.25">
      <c r="C23" s="28" t="s">
        <v>624</v>
      </c>
      <c r="E23" s="28" t="s">
        <v>625</v>
      </c>
      <c r="H23" s="31" t="s">
        <v>626</v>
      </c>
    </row>
    <row r="24" spans="3:11" x14ac:dyDescent="0.25">
      <c r="C24" t="s">
        <v>548</v>
      </c>
      <c r="E24" t="s">
        <v>554</v>
      </c>
      <c r="H24" t="s">
        <v>627</v>
      </c>
    </row>
    <row r="25" spans="3:11" x14ac:dyDescent="0.25">
      <c r="C25" t="s">
        <v>549</v>
      </c>
      <c r="E25" t="s">
        <v>555</v>
      </c>
      <c r="H25" s="31" t="s">
        <v>628</v>
      </c>
    </row>
    <row r="26" spans="3:11" x14ac:dyDescent="0.25">
      <c r="C26" t="s">
        <v>550</v>
      </c>
      <c r="E26" t="s">
        <v>553</v>
      </c>
      <c r="H26" s="31" t="s">
        <v>629</v>
      </c>
    </row>
    <row r="27" spans="3:11" x14ac:dyDescent="0.25">
      <c r="C27" t="s">
        <v>630</v>
      </c>
    </row>
    <row r="28" spans="3:11" x14ac:dyDescent="0.25">
      <c r="C28" t="s">
        <v>631</v>
      </c>
    </row>
    <row r="29" spans="3:11" x14ac:dyDescent="0.25">
      <c r="C29" t="s">
        <v>632</v>
      </c>
    </row>
    <row r="30" spans="3:11" x14ac:dyDescent="0.25">
      <c r="C30" t="s">
        <v>633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8:M38"/>
  <sheetViews>
    <sheetView workbookViewId="0">
      <selection activeCell="D9" sqref="D9"/>
    </sheetView>
  </sheetViews>
  <sheetFormatPr baseColWidth="10" defaultRowHeight="15" x14ac:dyDescent="0.25"/>
  <cols>
    <col min="1" max="1" width="11.42578125" style="36"/>
    <col min="3" max="3" width="11.42578125" style="6"/>
    <col min="4" max="4" width="28.140625" style="6" customWidth="1"/>
    <col min="5" max="5" width="24.7109375" style="6" bestFit="1" customWidth="1"/>
    <col min="6" max="6" width="18.42578125" style="6" bestFit="1" customWidth="1"/>
    <col min="7" max="7" width="30.140625" customWidth="1"/>
    <col min="13" max="13" width="115.42578125" bestFit="1" customWidth="1"/>
  </cols>
  <sheetData>
    <row r="8" spans="1:13" ht="15.75" thickBot="1" x14ac:dyDescent="0.3"/>
    <row r="9" spans="1:13" ht="30.75" thickBot="1" x14ac:dyDescent="0.3">
      <c r="A9" s="38" t="s">
        <v>7</v>
      </c>
      <c r="B9" s="20" t="s">
        <v>634</v>
      </c>
      <c r="C9" s="65" t="s">
        <v>635</v>
      </c>
      <c r="D9" s="65" t="s">
        <v>636</v>
      </c>
      <c r="E9" s="65" t="s">
        <v>9</v>
      </c>
      <c r="F9" s="65" t="s">
        <v>637</v>
      </c>
      <c r="G9" s="20" t="s">
        <v>539</v>
      </c>
      <c r="H9" s="21" t="s">
        <v>540</v>
      </c>
      <c r="I9" s="21" t="s">
        <v>541</v>
      </c>
      <c r="J9" s="21" t="s">
        <v>542</v>
      </c>
      <c r="K9" s="21" t="s">
        <v>543</v>
      </c>
      <c r="L9" s="21" t="s">
        <v>544</v>
      </c>
      <c r="M9" s="21" t="s">
        <v>545</v>
      </c>
    </row>
    <row r="10" spans="1:13" x14ac:dyDescent="0.25">
      <c r="A10" s="36">
        <v>44661</v>
      </c>
      <c r="B10" t="s">
        <v>154</v>
      </c>
      <c r="C10" s="6">
        <v>0</v>
      </c>
      <c r="D10" s="6" t="s">
        <v>153</v>
      </c>
      <c r="E10" s="6" t="s">
        <v>143</v>
      </c>
      <c r="F10" s="6" t="s">
        <v>144</v>
      </c>
      <c r="G10">
        <v>735918473</v>
      </c>
      <c r="H10" t="s">
        <v>5</v>
      </c>
      <c r="I10" t="s">
        <v>562</v>
      </c>
      <c r="J10" t="s">
        <v>548</v>
      </c>
      <c r="K10" t="s">
        <v>551</v>
      </c>
      <c r="L10" t="s">
        <v>554</v>
      </c>
      <c r="M10" t="s">
        <v>638</v>
      </c>
    </row>
    <row r="11" spans="1:13" x14ac:dyDescent="0.25">
      <c r="A11" s="36">
        <v>44661</v>
      </c>
      <c r="B11" t="s">
        <v>188</v>
      </c>
      <c r="C11" s="6">
        <v>0</v>
      </c>
      <c r="D11" s="6" t="s">
        <v>187</v>
      </c>
      <c r="E11" s="6" t="s">
        <v>184</v>
      </c>
      <c r="F11" s="6" t="s">
        <v>144</v>
      </c>
      <c r="G11">
        <v>6805868373</v>
      </c>
      <c r="H11" t="s">
        <v>6</v>
      </c>
      <c r="I11" t="s">
        <v>563</v>
      </c>
      <c r="J11" t="s">
        <v>549</v>
      </c>
      <c r="K11" t="s">
        <v>551</v>
      </c>
      <c r="L11" t="s">
        <v>554</v>
      </c>
      <c r="M11" t="s">
        <v>639</v>
      </c>
    </row>
    <row r="12" spans="1:13" x14ac:dyDescent="0.25">
      <c r="A12" s="36">
        <v>44655</v>
      </c>
      <c r="B12" t="s">
        <v>138</v>
      </c>
      <c r="C12" s="6">
        <v>0</v>
      </c>
      <c r="D12" s="6" t="s">
        <v>137</v>
      </c>
      <c r="E12" s="6" t="s">
        <v>81</v>
      </c>
      <c r="F12" s="6" t="s">
        <v>15</v>
      </c>
      <c r="G12">
        <v>20021330204</v>
      </c>
      <c r="H12" t="s">
        <v>546</v>
      </c>
      <c r="I12" t="s">
        <v>562</v>
      </c>
      <c r="J12" t="s">
        <v>548</v>
      </c>
      <c r="K12" t="s">
        <v>551</v>
      </c>
      <c r="L12" t="s">
        <v>554</v>
      </c>
      <c r="M12" t="s">
        <v>640</v>
      </c>
    </row>
    <row r="13" spans="1:13" x14ac:dyDescent="0.25">
      <c r="A13" s="36">
        <v>44655</v>
      </c>
      <c r="B13" t="s">
        <v>51</v>
      </c>
      <c r="C13" s="6">
        <v>0</v>
      </c>
      <c r="D13" s="6" t="s">
        <v>50</v>
      </c>
      <c r="E13" s="6" t="s">
        <v>35</v>
      </c>
      <c r="F13" s="6" t="s">
        <v>15</v>
      </c>
      <c r="G13">
        <v>7384618173</v>
      </c>
      <c r="H13" t="s">
        <v>546</v>
      </c>
      <c r="I13" t="s">
        <v>562</v>
      </c>
      <c r="J13" t="s">
        <v>548</v>
      </c>
      <c r="K13" t="s">
        <v>551</v>
      </c>
      <c r="L13" t="s">
        <v>553</v>
      </c>
      <c r="M13" t="s">
        <v>640</v>
      </c>
    </row>
    <row r="14" spans="1:13" x14ac:dyDescent="0.25">
      <c r="A14" s="36">
        <v>44655</v>
      </c>
      <c r="B14" t="s">
        <v>152</v>
      </c>
      <c r="C14" s="6">
        <v>0</v>
      </c>
      <c r="D14" s="6" t="s">
        <v>151</v>
      </c>
      <c r="E14" s="6" t="s">
        <v>143</v>
      </c>
      <c r="F14" s="6" t="s">
        <v>144</v>
      </c>
      <c r="G14">
        <v>7148833073</v>
      </c>
      <c r="H14" t="s">
        <v>6</v>
      </c>
      <c r="I14" t="s">
        <v>563</v>
      </c>
      <c r="J14" t="s">
        <v>548</v>
      </c>
      <c r="K14" t="s">
        <v>552</v>
      </c>
      <c r="L14" t="s">
        <v>553</v>
      </c>
      <c r="M14" t="s">
        <v>641</v>
      </c>
    </row>
    <row r="15" spans="1:13" x14ac:dyDescent="0.25">
      <c r="A15" s="36">
        <v>44655</v>
      </c>
      <c r="B15" t="s">
        <v>152</v>
      </c>
      <c r="C15" s="6">
        <v>0</v>
      </c>
      <c r="D15" s="6" t="s">
        <v>151</v>
      </c>
      <c r="E15" s="6" t="s">
        <v>143</v>
      </c>
      <c r="F15" s="6" t="s">
        <v>144</v>
      </c>
      <c r="G15">
        <v>7122065573</v>
      </c>
      <c r="H15" t="s">
        <v>6</v>
      </c>
      <c r="I15" t="s">
        <v>563</v>
      </c>
      <c r="J15" t="s">
        <v>549</v>
      </c>
      <c r="K15" t="s">
        <v>552</v>
      </c>
      <c r="L15" t="s">
        <v>555</v>
      </c>
      <c r="M15" t="s">
        <v>642</v>
      </c>
    </row>
    <row r="16" spans="1:13" x14ac:dyDescent="0.25">
      <c r="A16" s="36">
        <v>44655</v>
      </c>
      <c r="B16" t="s">
        <v>152</v>
      </c>
      <c r="C16" s="6">
        <v>0</v>
      </c>
      <c r="D16" s="6" t="s">
        <v>151</v>
      </c>
      <c r="E16" s="6" t="s">
        <v>143</v>
      </c>
      <c r="F16" s="6" t="s">
        <v>144</v>
      </c>
      <c r="G16">
        <v>7017609673</v>
      </c>
      <c r="H16" t="s">
        <v>6</v>
      </c>
      <c r="I16" t="s">
        <v>563</v>
      </c>
      <c r="J16" t="s">
        <v>549</v>
      </c>
      <c r="K16" t="s">
        <v>552</v>
      </c>
      <c r="L16" t="s">
        <v>555</v>
      </c>
      <c r="M16" t="s">
        <v>643</v>
      </c>
    </row>
    <row r="17" spans="1:13" x14ac:dyDescent="0.25">
      <c r="A17" s="36">
        <v>44655</v>
      </c>
      <c r="B17" t="s">
        <v>186</v>
      </c>
      <c r="C17" s="6">
        <v>0</v>
      </c>
      <c r="D17" s="6" t="s">
        <v>185</v>
      </c>
      <c r="E17" s="6" t="s">
        <v>184</v>
      </c>
      <c r="F17" s="6" t="s">
        <v>144</v>
      </c>
      <c r="G17">
        <v>3557593504</v>
      </c>
      <c r="H17" t="s">
        <v>6</v>
      </c>
      <c r="I17" t="s">
        <v>563</v>
      </c>
      <c r="J17" t="s">
        <v>548</v>
      </c>
      <c r="K17" t="s">
        <v>551</v>
      </c>
      <c r="L17" t="s">
        <v>554</v>
      </c>
      <c r="M17" t="s">
        <v>644</v>
      </c>
    </row>
    <row r="18" spans="1:13" x14ac:dyDescent="0.25">
      <c r="A18" s="36">
        <v>44655</v>
      </c>
      <c r="B18" t="s">
        <v>192</v>
      </c>
      <c r="C18" s="6">
        <v>0</v>
      </c>
      <c r="D18" s="6" t="s">
        <v>191</v>
      </c>
      <c r="E18" s="6" t="s">
        <v>184</v>
      </c>
      <c r="F18" s="6" t="s">
        <v>144</v>
      </c>
      <c r="G18">
        <v>7329443073</v>
      </c>
      <c r="H18" t="s">
        <v>546</v>
      </c>
      <c r="I18" t="s">
        <v>562</v>
      </c>
      <c r="J18" t="s">
        <v>548</v>
      </c>
      <c r="K18" t="s">
        <v>551</v>
      </c>
      <c r="L18" t="s">
        <v>554</v>
      </c>
      <c r="M18" t="s">
        <v>645</v>
      </c>
    </row>
    <row r="19" spans="1:13" x14ac:dyDescent="0.25">
      <c r="A19" s="36">
        <v>44655</v>
      </c>
      <c r="B19" t="s">
        <v>87</v>
      </c>
      <c r="C19" s="6">
        <v>0</v>
      </c>
      <c r="D19" s="6" t="s">
        <v>86</v>
      </c>
      <c r="E19" s="6" t="s">
        <v>2</v>
      </c>
      <c r="F19" s="6" t="s">
        <v>15</v>
      </c>
      <c r="G19">
        <v>7038738473</v>
      </c>
      <c r="H19" t="s">
        <v>6</v>
      </c>
      <c r="I19" t="s">
        <v>563</v>
      </c>
      <c r="J19" t="s">
        <v>548</v>
      </c>
      <c r="K19" t="s">
        <v>551</v>
      </c>
      <c r="L19" t="s">
        <v>554</v>
      </c>
      <c r="M19" t="s">
        <v>646</v>
      </c>
    </row>
    <row r="20" spans="1:13" x14ac:dyDescent="0.25">
      <c r="A20" s="36">
        <v>44664</v>
      </c>
      <c r="B20" t="s">
        <v>61</v>
      </c>
      <c r="C20" s="6">
        <v>0</v>
      </c>
      <c r="D20" s="6" t="s">
        <v>60</v>
      </c>
      <c r="E20" s="6" t="s">
        <v>1</v>
      </c>
      <c r="F20" s="6" t="s">
        <v>15</v>
      </c>
      <c r="G20">
        <v>7368681173</v>
      </c>
      <c r="H20" t="s">
        <v>6</v>
      </c>
      <c r="I20" t="s">
        <v>584</v>
      </c>
      <c r="J20" t="s">
        <v>548</v>
      </c>
      <c r="K20" t="s">
        <v>551</v>
      </c>
      <c r="L20" t="s">
        <v>553</v>
      </c>
      <c r="M20" t="s">
        <v>647</v>
      </c>
    </row>
    <row r="21" spans="1:13" x14ac:dyDescent="0.25">
      <c r="A21" s="36">
        <v>44665</v>
      </c>
      <c r="B21" t="s">
        <v>204</v>
      </c>
      <c r="C21" s="6">
        <v>0</v>
      </c>
      <c r="D21" s="6" t="s">
        <v>203</v>
      </c>
      <c r="E21" s="6" t="s">
        <v>184</v>
      </c>
      <c r="F21" s="6" t="s">
        <v>144</v>
      </c>
      <c r="G21">
        <v>6653255473</v>
      </c>
      <c r="H21" t="s">
        <v>5</v>
      </c>
      <c r="I21" t="s">
        <v>589</v>
      </c>
      <c r="J21" t="s">
        <v>549</v>
      </c>
      <c r="K21" t="s">
        <v>551</v>
      </c>
      <c r="L21" t="s">
        <v>554</v>
      </c>
      <c r="M21" t="s">
        <v>648</v>
      </c>
    </row>
    <row r="22" spans="1:13" x14ac:dyDescent="0.25">
      <c r="A22" s="36">
        <v>44665</v>
      </c>
      <c r="B22" t="s">
        <v>67</v>
      </c>
      <c r="C22" s="6">
        <v>0</v>
      </c>
      <c r="D22" s="6" t="s">
        <v>66</v>
      </c>
      <c r="E22" s="6" t="s">
        <v>1</v>
      </c>
      <c r="F22" s="6" t="s">
        <v>15</v>
      </c>
      <c r="G22">
        <v>7400137873</v>
      </c>
      <c r="H22" t="s">
        <v>546</v>
      </c>
      <c r="I22" t="s">
        <v>562</v>
      </c>
      <c r="J22" t="s">
        <v>548</v>
      </c>
      <c r="K22" t="s">
        <v>551</v>
      </c>
      <c r="L22" t="s">
        <v>554</v>
      </c>
      <c r="M22" t="s">
        <v>649</v>
      </c>
    </row>
    <row r="23" spans="1:13" x14ac:dyDescent="0.25">
      <c r="A23" s="36">
        <v>44665</v>
      </c>
      <c r="B23" t="s">
        <v>152</v>
      </c>
      <c r="C23" s="6">
        <v>0</v>
      </c>
      <c r="D23" s="6" t="s">
        <v>151</v>
      </c>
      <c r="E23" s="6" t="s">
        <v>143</v>
      </c>
      <c r="F23" s="6" t="s">
        <v>144</v>
      </c>
      <c r="G23">
        <v>7239596173</v>
      </c>
      <c r="H23" t="s">
        <v>547</v>
      </c>
      <c r="I23" t="s">
        <v>581</v>
      </c>
      <c r="J23" t="s">
        <v>548</v>
      </c>
      <c r="K23" t="s">
        <v>552</v>
      </c>
      <c r="L23" t="s">
        <v>553</v>
      </c>
      <c r="M23" t="s">
        <v>650</v>
      </c>
    </row>
    <row r="24" spans="1:13" x14ac:dyDescent="0.25">
      <c r="A24" s="36">
        <v>44665</v>
      </c>
      <c r="B24" t="s">
        <v>188</v>
      </c>
      <c r="C24" s="6">
        <v>0</v>
      </c>
      <c r="D24" s="6" t="s">
        <v>187</v>
      </c>
      <c r="E24" s="6" t="s">
        <v>184</v>
      </c>
      <c r="F24" s="6" t="s">
        <v>144</v>
      </c>
      <c r="G24">
        <v>6953884373</v>
      </c>
      <c r="H24" t="s">
        <v>6</v>
      </c>
      <c r="I24" t="s">
        <v>563</v>
      </c>
      <c r="J24" t="s">
        <v>549</v>
      </c>
      <c r="K24" t="s">
        <v>551</v>
      </c>
      <c r="L24" t="s">
        <v>553</v>
      </c>
      <c r="M24" t="s">
        <v>651</v>
      </c>
    </row>
    <row r="25" spans="1:13" x14ac:dyDescent="0.25">
      <c r="A25" s="36">
        <v>44666</v>
      </c>
      <c r="B25" t="s">
        <v>73</v>
      </c>
      <c r="C25" s="6">
        <v>0</v>
      </c>
      <c r="D25" s="6" t="s">
        <v>72</v>
      </c>
      <c r="E25" s="6" t="s">
        <v>1</v>
      </c>
      <c r="F25" s="6" t="s">
        <v>15</v>
      </c>
      <c r="G25">
        <v>7384621373</v>
      </c>
      <c r="H25" t="s">
        <v>5</v>
      </c>
      <c r="I25" t="s">
        <v>576</v>
      </c>
      <c r="J25" t="s">
        <v>548</v>
      </c>
      <c r="K25" t="s">
        <v>551</v>
      </c>
      <c r="L25" t="s">
        <v>553</v>
      </c>
      <c r="M25" t="s">
        <v>652</v>
      </c>
    </row>
    <row r="26" spans="1:13" x14ac:dyDescent="0.25">
      <c r="A26" s="36">
        <v>44666</v>
      </c>
      <c r="B26" t="s">
        <v>120</v>
      </c>
      <c r="C26" s="6">
        <v>0</v>
      </c>
      <c r="D26" s="6" t="s">
        <v>119</v>
      </c>
      <c r="E26" s="6" t="s">
        <v>118</v>
      </c>
      <c r="F26" s="6" t="s">
        <v>15</v>
      </c>
      <c r="G26">
        <v>6994464473</v>
      </c>
      <c r="H26" t="s">
        <v>6</v>
      </c>
      <c r="I26" t="s">
        <v>590</v>
      </c>
      <c r="J26" t="s">
        <v>549</v>
      </c>
      <c r="K26" t="s">
        <v>552</v>
      </c>
      <c r="L26" t="s">
        <v>554</v>
      </c>
      <c r="M26" t="s">
        <v>653</v>
      </c>
    </row>
    <row r="27" spans="1:13" x14ac:dyDescent="0.25">
      <c r="A27" s="36">
        <v>44667</v>
      </c>
      <c r="B27" t="s">
        <v>152</v>
      </c>
      <c r="C27" s="6">
        <v>0</v>
      </c>
      <c r="D27" s="6" t="s">
        <v>151</v>
      </c>
      <c r="E27" s="6" t="s">
        <v>143</v>
      </c>
      <c r="F27" s="6" t="s">
        <v>144</v>
      </c>
      <c r="G27">
        <v>7246003673</v>
      </c>
      <c r="H27" t="s">
        <v>546</v>
      </c>
      <c r="I27" t="s">
        <v>562</v>
      </c>
      <c r="J27" t="s">
        <v>548</v>
      </c>
      <c r="K27" t="s">
        <v>551</v>
      </c>
      <c r="L27" t="s">
        <v>554</v>
      </c>
      <c r="M27" t="s">
        <v>654</v>
      </c>
    </row>
    <row r="28" spans="1:13" x14ac:dyDescent="0.25">
      <c r="A28" s="36">
        <v>44667</v>
      </c>
      <c r="B28" t="s">
        <v>186</v>
      </c>
      <c r="C28" s="6">
        <v>0</v>
      </c>
      <c r="D28" s="6" t="s">
        <v>185</v>
      </c>
      <c r="E28" s="6" t="s">
        <v>184</v>
      </c>
      <c r="F28" s="6" t="s">
        <v>144</v>
      </c>
      <c r="G28">
        <v>6263295573</v>
      </c>
      <c r="H28" t="s">
        <v>6</v>
      </c>
      <c r="I28" t="s">
        <v>563</v>
      </c>
      <c r="J28" t="s">
        <v>548</v>
      </c>
      <c r="K28" t="s">
        <v>551</v>
      </c>
      <c r="L28" t="s">
        <v>554</v>
      </c>
      <c r="M28" t="s">
        <v>655</v>
      </c>
    </row>
    <row r="29" spans="1:13" x14ac:dyDescent="0.25">
      <c r="A29" s="36">
        <v>44667</v>
      </c>
      <c r="B29" t="s">
        <v>188</v>
      </c>
      <c r="C29" s="6">
        <v>0</v>
      </c>
      <c r="D29" s="6" t="s">
        <v>187</v>
      </c>
      <c r="E29" s="6" t="s">
        <v>184</v>
      </c>
      <c r="F29" s="6" t="s">
        <v>144</v>
      </c>
      <c r="G29">
        <v>6824081173</v>
      </c>
      <c r="H29" t="s">
        <v>6</v>
      </c>
      <c r="I29" t="s">
        <v>584</v>
      </c>
      <c r="J29" t="s">
        <v>548</v>
      </c>
      <c r="K29" t="s">
        <v>551</v>
      </c>
      <c r="L29" t="s">
        <v>554</v>
      </c>
      <c r="M29" t="s">
        <v>656</v>
      </c>
    </row>
    <row r="30" spans="1:13" x14ac:dyDescent="0.25">
      <c r="A30" s="36">
        <v>44667</v>
      </c>
      <c r="B30" t="s">
        <v>132</v>
      </c>
      <c r="C30" s="6">
        <v>0</v>
      </c>
      <c r="D30" s="6" t="s">
        <v>131</v>
      </c>
      <c r="E30" s="6" t="s">
        <v>118</v>
      </c>
      <c r="F30" s="6" t="s">
        <v>15</v>
      </c>
      <c r="G30">
        <v>7320789473</v>
      </c>
      <c r="H30" t="s">
        <v>546</v>
      </c>
      <c r="I30" t="s">
        <v>562</v>
      </c>
      <c r="J30" t="s">
        <v>548</v>
      </c>
      <c r="K30" t="s">
        <v>551</v>
      </c>
      <c r="L30" t="s">
        <v>554</v>
      </c>
      <c r="M30" t="s">
        <v>657</v>
      </c>
    </row>
    <row r="31" spans="1:13" x14ac:dyDescent="0.25">
      <c r="A31" s="36">
        <v>44674</v>
      </c>
      <c r="B31" t="s">
        <v>67</v>
      </c>
      <c r="C31" s="6">
        <v>0</v>
      </c>
      <c r="D31" s="6" t="s">
        <v>66</v>
      </c>
      <c r="E31" s="6" t="s">
        <v>1</v>
      </c>
      <c r="F31" s="6" t="s">
        <v>15</v>
      </c>
      <c r="G31">
        <v>5750415173</v>
      </c>
      <c r="H31" t="s">
        <v>6</v>
      </c>
      <c r="I31" t="s">
        <v>570</v>
      </c>
      <c r="J31" t="s">
        <v>548</v>
      </c>
      <c r="K31" t="s">
        <v>551</v>
      </c>
      <c r="L31" t="s">
        <v>554</v>
      </c>
      <c r="M31" t="s">
        <v>658</v>
      </c>
    </row>
    <row r="32" spans="1:13" x14ac:dyDescent="0.25">
      <c r="A32" s="36">
        <v>44674</v>
      </c>
      <c r="B32" t="s">
        <v>65</v>
      </c>
      <c r="C32" s="6">
        <v>0</v>
      </c>
      <c r="D32" s="6" t="s">
        <v>64</v>
      </c>
      <c r="E32" s="6" t="s">
        <v>1</v>
      </c>
      <c r="F32" s="6" t="s">
        <v>15</v>
      </c>
      <c r="G32">
        <v>6092935473</v>
      </c>
      <c r="H32" t="s">
        <v>546</v>
      </c>
      <c r="I32" t="s">
        <v>569</v>
      </c>
      <c r="J32" t="s">
        <v>549</v>
      </c>
      <c r="K32" t="s">
        <v>551</v>
      </c>
      <c r="L32" t="s">
        <v>554</v>
      </c>
      <c r="M32" t="s">
        <v>659</v>
      </c>
    </row>
    <row r="33" spans="1:13" x14ac:dyDescent="0.25">
      <c r="A33" s="36">
        <v>44674</v>
      </c>
      <c r="B33" t="s">
        <v>61</v>
      </c>
      <c r="C33" s="6">
        <v>0</v>
      </c>
      <c r="D33" s="6" t="s">
        <v>60</v>
      </c>
      <c r="E33" s="6" t="s">
        <v>1</v>
      </c>
      <c r="F33" s="6" t="s">
        <v>15</v>
      </c>
      <c r="G33">
        <v>7237503973</v>
      </c>
      <c r="H33" t="s">
        <v>5</v>
      </c>
      <c r="I33" t="s">
        <v>576</v>
      </c>
      <c r="J33" t="s">
        <v>549</v>
      </c>
      <c r="K33" t="s">
        <v>552</v>
      </c>
      <c r="L33" t="s">
        <v>553</v>
      </c>
      <c r="M33" t="s">
        <v>660</v>
      </c>
    </row>
    <row r="34" spans="1:13" x14ac:dyDescent="0.25">
      <c r="A34" s="36">
        <v>44674</v>
      </c>
      <c r="B34" t="s">
        <v>152</v>
      </c>
      <c r="C34" s="6">
        <v>0</v>
      </c>
      <c r="D34" s="6" t="s">
        <v>151</v>
      </c>
      <c r="E34" s="6" t="s">
        <v>143</v>
      </c>
      <c r="F34" s="6" t="s">
        <v>144</v>
      </c>
      <c r="G34">
        <v>7035446173</v>
      </c>
      <c r="H34" t="s">
        <v>6</v>
      </c>
      <c r="I34" t="s">
        <v>570</v>
      </c>
      <c r="J34" t="s">
        <v>550</v>
      </c>
      <c r="K34" t="s">
        <v>551</v>
      </c>
      <c r="L34" t="s">
        <v>554</v>
      </c>
      <c r="M34" t="s">
        <v>661</v>
      </c>
    </row>
    <row r="35" spans="1:13" x14ac:dyDescent="0.25">
      <c r="A35" s="36">
        <v>44674</v>
      </c>
      <c r="B35" t="s">
        <v>136</v>
      </c>
      <c r="C35" s="6">
        <v>0</v>
      </c>
      <c r="D35" s="6" t="s">
        <v>135</v>
      </c>
      <c r="E35" s="6" t="s">
        <v>118</v>
      </c>
      <c r="F35" s="6" t="s">
        <v>15</v>
      </c>
      <c r="G35">
        <v>7315590473</v>
      </c>
      <c r="H35" t="s">
        <v>547</v>
      </c>
      <c r="I35" t="s">
        <v>581</v>
      </c>
      <c r="J35" t="s">
        <v>549</v>
      </c>
      <c r="K35" t="s">
        <v>551</v>
      </c>
      <c r="L35" t="s">
        <v>554</v>
      </c>
      <c r="M35" t="s">
        <v>662</v>
      </c>
    </row>
    <row r="36" spans="1:13" x14ac:dyDescent="0.25">
      <c r="A36" s="36">
        <v>44878.61572962963</v>
      </c>
      <c r="B36" t="s">
        <v>154</v>
      </c>
      <c r="D36" s="6" t="s">
        <v>153</v>
      </c>
      <c r="E36" s="6" t="s">
        <v>143</v>
      </c>
      <c r="F36" s="6" t="s">
        <v>144</v>
      </c>
      <c r="G36">
        <v>32528758</v>
      </c>
      <c r="H36" t="s">
        <v>556</v>
      </c>
      <c r="I36" t="s">
        <v>582</v>
      </c>
      <c r="J36" t="s">
        <v>550</v>
      </c>
      <c r="K36" t="s">
        <v>555</v>
      </c>
      <c r="L36" t="s">
        <v>553</v>
      </c>
      <c r="M36" t="s">
        <v>667</v>
      </c>
    </row>
    <row r="37" spans="1:13" x14ac:dyDescent="0.25">
      <c r="A37" s="36">
        <v>45026.977595486111</v>
      </c>
      <c r="B37" t="s">
        <v>18</v>
      </c>
      <c r="D37" s="6" t="s">
        <v>17</v>
      </c>
      <c r="E37" s="6" t="s">
        <v>14</v>
      </c>
      <c r="F37" s="6" t="s">
        <v>15</v>
      </c>
      <c r="G37">
        <v>32528758</v>
      </c>
      <c r="H37" t="s">
        <v>547</v>
      </c>
      <c r="I37" t="s">
        <v>567</v>
      </c>
      <c r="J37" t="s">
        <v>630</v>
      </c>
      <c r="K37" t="s">
        <v>555</v>
      </c>
      <c r="L37" t="s">
        <v>555</v>
      </c>
      <c r="M37" t="s">
        <v>668</v>
      </c>
    </row>
    <row r="38" spans="1:13" x14ac:dyDescent="0.25">
      <c r="A38" s="36">
        <v>45364.876336689813</v>
      </c>
      <c r="B38" t="s">
        <v>73</v>
      </c>
      <c r="D38" s="6" t="s">
        <v>72</v>
      </c>
      <c r="E38" s="6" t="s">
        <v>1</v>
      </c>
      <c r="F38" s="6" t="s">
        <v>15</v>
      </c>
      <c r="G38">
        <v>32528758</v>
      </c>
      <c r="H38" t="s">
        <v>547</v>
      </c>
      <c r="I38" t="s">
        <v>567</v>
      </c>
      <c r="J38" t="s">
        <v>549</v>
      </c>
      <c r="K38" t="s">
        <v>555</v>
      </c>
      <c r="L38" t="s">
        <v>555</v>
      </c>
      <c r="M38" t="s">
        <v>669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0DBA5-70E3-4EAF-A2F9-4FFB83E834F6}">
  <dimension ref="A1:K280"/>
  <sheetViews>
    <sheetView topLeftCell="A58" workbookViewId="0">
      <selection activeCell="E1" sqref="E1"/>
    </sheetView>
  </sheetViews>
  <sheetFormatPr baseColWidth="10" defaultRowHeight="15" x14ac:dyDescent="0.25"/>
  <cols>
    <col min="1" max="1" width="15" style="67" customWidth="1"/>
    <col min="2" max="2" width="34.7109375" style="67" customWidth="1"/>
    <col min="3" max="3" width="25.85546875" style="67" customWidth="1"/>
    <col min="4" max="4" width="30.28515625" style="67" customWidth="1"/>
    <col min="5" max="5" width="15" style="67" customWidth="1"/>
    <col min="6" max="6" width="29.7109375" style="67" customWidth="1"/>
    <col min="7" max="11" width="15" style="67" customWidth="1"/>
    <col min="12" max="16384" width="11.42578125" style="66"/>
  </cols>
  <sheetData>
    <row r="1" spans="1:11" x14ac:dyDescent="0.25">
      <c r="A1" s="70" t="s">
        <v>671</v>
      </c>
      <c r="B1" s="71" t="s">
        <v>1538</v>
      </c>
      <c r="C1" s="71" t="s">
        <v>672</v>
      </c>
      <c r="D1" s="71" t="s">
        <v>673</v>
      </c>
      <c r="E1" s="71" t="s">
        <v>674</v>
      </c>
      <c r="F1" s="71" t="s">
        <v>10</v>
      </c>
      <c r="G1" s="71" t="s">
        <v>675</v>
      </c>
      <c r="H1" s="71" t="s">
        <v>676</v>
      </c>
      <c r="I1" s="71" t="s">
        <v>677</v>
      </c>
      <c r="J1" s="71" t="s">
        <v>678</v>
      </c>
      <c r="K1" s="72" t="s">
        <v>679</v>
      </c>
    </row>
    <row r="2" spans="1:11" x14ac:dyDescent="0.25">
      <c r="A2" s="73" t="s">
        <v>13</v>
      </c>
      <c r="B2" s="67" t="s">
        <v>12</v>
      </c>
      <c r="C2" s="67" t="s">
        <v>680</v>
      </c>
      <c r="D2" s="67" t="s">
        <v>681</v>
      </c>
      <c r="E2" s="67" t="s">
        <v>682</v>
      </c>
      <c r="F2" s="67" t="s">
        <v>15</v>
      </c>
      <c r="G2" s="67" t="s">
        <v>16</v>
      </c>
      <c r="H2" s="67" t="s">
        <v>683</v>
      </c>
      <c r="I2" s="67" t="s">
        <v>684</v>
      </c>
      <c r="J2" s="68">
        <v>36661</v>
      </c>
      <c r="K2" s="74">
        <v>41044</v>
      </c>
    </row>
    <row r="3" spans="1:11" x14ac:dyDescent="0.25">
      <c r="A3" s="73" t="s">
        <v>18</v>
      </c>
      <c r="B3" s="67" t="s">
        <v>17</v>
      </c>
      <c r="C3" s="67" t="s">
        <v>685</v>
      </c>
      <c r="D3" s="67" t="s">
        <v>686</v>
      </c>
      <c r="E3" s="67" t="s">
        <v>682</v>
      </c>
      <c r="F3" s="67" t="s">
        <v>15</v>
      </c>
      <c r="G3" s="67" t="s">
        <v>16</v>
      </c>
      <c r="H3" s="67" t="s">
        <v>683</v>
      </c>
      <c r="I3" s="67" t="s">
        <v>684</v>
      </c>
      <c r="J3" s="68">
        <v>36970</v>
      </c>
      <c r="K3" s="74">
        <v>42083</v>
      </c>
    </row>
    <row r="4" spans="1:11" x14ac:dyDescent="0.25">
      <c r="A4" s="73" t="s">
        <v>20</v>
      </c>
      <c r="B4" s="67" t="s">
        <v>19</v>
      </c>
      <c r="C4" s="67" t="s">
        <v>687</v>
      </c>
      <c r="D4" s="67" t="s">
        <v>688</v>
      </c>
      <c r="E4" s="67" t="s">
        <v>682</v>
      </c>
      <c r="F4" s="67" t="s">
        <v>15</v>
      </c>
      <c r="G4" s="67" t="s">
        <v>16</v>
      </c>
      <c r="H4" s="67" t="s">
        <v>683</v>
      </c>
      <c r="I4" s="67" t="s">
        <v>689</v>
      </c>
      <c r="J4" s="68">
        <v>29533</v>
      </c>
      <c r="K4" s="74">
        <v>40490</v>
      </c>
    </row>
    <row r="5" spans="1:11" x14ac:dyDescent="0.25">
      <c r="A5" s="73" t="s">
        <v>22</v>
      </c>
      <c r="B5" s="67" t="s">
        <v>21</v>
      </c>
      <c r="C5" s="67" t="s">
        <v>690</v>
      </c>
      <c r="D5" s="67" t="s">
        <v>691</v>
      </c>
      <c r="E5" s="67" t="s">
        <v>682</v>
      </c>
      <c r="F5" s="67" t="s">
        <v>15</v>
      </c>
      <c r="G5" s="67" t="s">
        <v>16</v>
      </c>
      <c r="H5" s="67" t="s">
        <v>683</v>
      </c>
      <c r="I5" s="67" t="s">
        <v>684</v>
      </c>
      <c r="J5" s="68">
        <v>35986</v>
      </c>
      <c r="K5" s="74">
        <v>41830</v>
      </c>
    </row>
    <row r="6" spans="1:11" x14ac:dyDescent="0.25">
      <c r="A6" s="73" t="s">
        <v>24</v>
      </c>
      <c r="B6" s="67" t="s">
        <v>23</v>
      </c>
      <c r="C6" s="67" t="s">
        <v>692</v>
      </c>
      <c r="D6" s="67" t="s">
        <v>693</v>
      </c>
      <c r="E6" s="67" t="s">
        <v>682</v>
      </c>
      <c r="F6" s="67" t="s">
        <v>15</v>
      </c>
      <c r="G6" s="67" t="s">
        <v>16</v>
      </c>
      <c r="H6" s="67" t="s">
        <v>683</v>
      </c>
      <c r="I6" s="67" t="s">
        <v>689</v>
      </c>
      <c r="J6" s="68">
        <v>33849</v>
      </c>
      <c r="K6" s="74">
        <v>42615</v>
      </c>
    </row>
    <row r="7" spans="1:11" x14ac:dyDescent="0.25">
      <c r="A7" s="73" t="s">
        <v>26</v>
      </c>
      <c r="B7" s="67" t="s">
        <v>25</v>
      </c>
      <c r="C7" s="67" t="s">
        <v>694</v>
      </c>
      <c r="D7" s="67" t="s">
        <v>695</v>
      </c>
      <c r="E7" s="67" t="s">
        <v>682</v>
      </c>
      <c r="F7" s="67" t="s">
        <v>15</v>
      </c>
      <c r="G7" s="67" t="s">
        <v>16</v>
      </c>
      <c r="H7" s="67" t="s">
        <v>683</v>
      </c>
      <c r="I7" s="67" t="s">
        <v>689</v>
      </c>
      <c r="J7" s="68">
        <v>31223</v>
      </c>
      <c r="K7" s="74">
        <v>40719</v>
      </c>
    </row>
    <row r="8" spans="1:11" x14ac:dyDescent="0.25">
      <c r="A8" s="73" t="s">
        <v>28</v>
      </c>
      <c r="B8" s="67" t="s">
        <v>27</v>
      </c>
      <c r="C8" s="67" t="s">
        <v>696</v>
      </c>
      <c r="D8" s="67" t="s">
        <v>697</v>
      </c>
      <c r="E8" s="67" t="s">
        <v>682</v>
      </c>
      <c r="F8" s="67" t="s">
        <v>15</v>
      </c>
      <c r="G8" s="67" t="s">
        <v>16</v>
      </c>
      <c r="H8" s="67" t="s">
        <v>683</v>
      </c>
      <c r="I8" s="67" t="s">
        <v>689</v>
      </c>
      <c r="J8" s="68">
        <v>36204</v>
      </c>
      <c r="K8" s="74">
        <v>41318</v>
      </c>
    </row>
    <row r="9" spans="1:11" x14ac:dyDescent="0.25">
      <c r="A9" s="73" t="s">
        <v>30</v>
      </c>
      <c r="B9" s="67" t="s">
        <v>698</v>
      </c>
      <c r="C9" s="67" t="s">
        <v>699</v>
      </c>
      <c r="D9" s="67" t="s">
        <v>700</v>
      </c>
      <c r="E9" s="67" t="s">
        <v>682</v>
      </c>
      <c r="F9" s="67" t="s">
        <v>15</v>
      </c>
      <c r="G9" s="67" t="s">
        <v>16</v>
      </c>
      <c r="H9" s="67" t="s">
        <v>683</v>
      </c>
      <c r="I9" s="67" t="s">
        <v>684</v>
      </c>
      <c r="J9" s="68">
        <v>36768</v>
      </c>
      <c r="K9" s="74">
        <v>42977</v>
      </c>
    </row>
    <row r="10" spans="1:11" x14ac:dyDescent="0.25">
      <c r="A10" s="73" t="s">
        <v>32</v>
      </c>
      <c r="B10" s="67" t="s">
        <v>31</v>
      </c>
      <c r="C10" s="67" t="s">
        <v>701</v>
      </c>
      <c r="D10" s="67" t="s">
        <v>702</v>
      </c>
      <c r="E10" s="67" t="s">
        <v>682</v>
      </c>
      <c r="F10" s="67" t="s">
        <v>15</v>
      </c>
      <c r="G10" s="67" t="s">
        <v>16</v>
      </c>
      <c r="H10" s="67" t="s">
        <v>683</v>
      </c>
      <c r="I10" s="67" t="s">
        <v>689</v>
      </c>
      <c r="J10" s="68">
        <v>29499</v>
      </c>
      <c r="K10" s="74">
        <v>40456</v>
      </c>
    </row>
    <row r="11" spans="1:11" x14ac:dyDescent="0.25">
      <c r="A11" s="73" t="s">
        <v>34</v>
      </c>
      <c r="B11" s="67" t="s">
        <v>703</v>
      </c>
      <c r="C11" s="67" t="s">
        <v>704</v>
      </c>
      <c r="D11" s="67" t="s">
        <v>705</v>
      </c>
      <c r="E11" s="67" t="s">
        <v>706</v>
      </c>
      <c r="F11" s="67" t="s">
        <v>15</v>
      </c>
      <c r="G11" s="67" t="s">
        <v>16</v>
      </c>
      <c r="H11" s="67" t="s">
        <v>683</v>
      </c>
      <c r="I11" s="67" t="s">
        <v>684</v>
      </c>
      <c r="J11" s="68">
        <v>36147</v>
      </c>
      <c r="K11" s="74">
        <v>41991</v>
      </c>
    </row>
    <row r="12" spans="1:11" x14ac:dyDescent="0.25">
      <c r="A12" s="73" t="s">
        <v>37</v>
      </c>
      <c r="B12" s="67" t="s">
        <v>36</v>
      </c>
      <c r="C12" s="67" t="s">
        <v>707</v>
      </c>
      <c r="D12" s="67" t="s">
        <v>708</v>
      </c>
      <c r="E12" s="67" t="s">
        <v>706</v>
      </c>
      <c r="F12" s="67" t="s">
        <v>15</v>
      </c>
      <c r="G12" s="67" t="s">
        <v>16</v>
      </c>
      <c r="H12" s="67" t="s">
        <v>683</v>
      </c>
      <c r="I12" s="67" t="s">
        <v>684</v>
      </c>
      <c r="J12" s="68">
        <v>33622</v>
      </c>
      <c r="K12" s="74">
        <v>42388</v>
      </c>
    </row>
    <row r="13" spans="1:11" x14ac:dyDescent="0.25">
      <c r="A13" s="73" t="s">
        <v>39</v>
      </c>
      <c r="B13" s="67" t="s">
        <v>38</v>
      </c>
      <c r="C13" s="67" t="s">
        <v>709</v>
      </c>
      <c r="D13" s="67" t="s">
        <v>710</v>
      </c>
      <c r="E13" s="67" t="s">
        <v>706</v>
      </c>
      <c r="F13" s="67" t="s">
        <v>15</v>
      </c>
      <c r="G13" s="67" t="s">
        <v>16</v>
      </c>
      <c r="H13" s="67" t="s">
        <v>683</v>
      </c>
      <c r="I13" s="67" t="s">
        <v>684</v>
      </c>
      <c r="J13" s="68">
        <v>35986</v>
      </c>
      <c r="K13" s="74">
        <v>41830</v>
      </c>
    </row>
    <row r="14" spans="1:11" x14ac:dyDescent="0.25">
      <c r="A14" s="73" t="s">
        <v>41</v>
      </c>
      <c r="B14" s="67" t="s">
        <v>40</v>
      </c>
      <c r="C14" s="67" t="s">
        <v>711</v>
      </c>
      <c r="D14" s="67" t="s">
        <v>712</v>
      </c>
      <c r="E14" s="67" t="s">
        <v>706</v>
      </c>
      <c r="F14" s="67" t="s">
        <v>15</v>
      </c>
      <c r="G14" s="67" t="s">
        <v>16</v>
      </c>
      <c r="H14" s="67" t="s">
        <v>683</v>
      </c>
      <c r="I14" s="67" t="s">
        <v>689</v>
      </c>
      <c r="J14" s="68">
        <v>35986</v>
      </c>
      <c r="K14" s="74">
        <v>41830</v>
      </c>
    </row>
    <row r="15" spans="1:11" x14ac:dyDescent="0.25">
      <c r="A15" s="73" t="s">
        <v>43</v>
      </c>
      <c r="B15" s="67" t="s">
        <v>42</v>
      </c>
      <c r="C15" s="67" t="s">
        <v>713</v>
      </c>
      <c r="D15" s="67" t="s">
        <v>712</v>
      </c>
      <c r="E15" s="67" t="s">
        <v>706</v>
      </c>
      <c r="F15" s="67" t="s">
        <v>15</v>
      </c>
      <c r="G15" s="67" t="s">
        <v>16</v>
      </c>
      <c r="H15" s="67" t="s">
        <v>683</v>
      </c>
      <c r="I15" s="67" t="s">
        <v>689</v>
      </c>
      <c r="J15" s="68">
        <v>35986</v>
      </c>
      <c r="K15" s="74">
        <v>41830</v>
      </c>
    </row>
    <row r="16" spans="1:11" x14ac:dyDescent="0.25">
      <c r="A16" s="73" t="s">
        <v>45</v>
      </c>
      <c r="B16" s="67" t="s">
        <v>44</v>
      </c>
      <c r="C16" s="67" t="s">
        <v>714</v>
      </c>
      <c r="D16" s="67" t="s">
        <v>715</v>
      </c>
      <c r="E16" s="67" t="s">
        <v>706</v>
      </c>
      <c r="F16" s="67" t="s">
        <v>15</v>
      </c>
      <c r="G16" s="67" t="s">
        <v>16</v>
      </c>
      <c r="H16" s="67" t="s">
        <v>683</v>
      </c>
      <c r="I16" s="67" t="s">
        <v>684</v>
      </c>
      <c r="J16" s="68">
        <v>35986</v>
      </c>
      <c r="K16" s="74">
        <v>41830</v>
      </c>
    </row>
    <row r="17" spans="1:11" x14ac:dyDescent="0.25">
      <c r="A17" s="73" t="s">
        <v>47</v>
      </c>
      <c r="B17" s="67" t="s">
        <v>46</v>
      </c>
      <c r="C17" s="67" t="s">
        <v>716</v>
      </c>
      <c r="D17" s="67" t="s">
        <v>717</v>
      </c>
      <c r="E17" s="67" t="s">
        <v>706</v>
      </c>
      <c r="F17" s="67" t="s">
        <v>15</v>
      </c>
      <c r="G17" s="67" t="s">
        <v>16</v>
      </c>
      <c r="H17" s="67" t="s">
        <v>683</v>
      </c>
      <c r="I17" s="67" t="s">
        <v>689</v>
      </c>
      <c r="J17" s="68">
        <v>35986</v>
      </c>
      <c r="K17" s="74">
        <v>41830</v>
      </c>
    </row>
    <row r="18" spans="1:11" x14ac:dyDescent="0.25">
      <c r="A18" s="73" t="s">
        <v>49</v>
      </c>
      <c r="B18" s="67" t="s">
        <v>48</v>
      </c>
      <c r="C18" s="67" t="s">
        <v>718</v>
      </c>
      <c r="D18" s="67" t="s">
        <v>719</v>
      </c>
      <c r="E18" s="67" t="s">
        <v>706</v>
      </c>
      <c r="F18" s="67" t="s">
        <v>15</v>
      </c>
      <c r="G18" s="67" t="s">
        <v>16</v>
      </c>
      <c r="H18" s="67" t="s">
        <v>683</v>
      </c>
      <c r="I18" s="67" t="s">
        <v>689</v>
      </c>
      <c r="J18" s="68">
        <v>35986</v>
      </c>
      <c r="K18" s="74">
        <v>41830</v>
      </c>
    </row>
    <row r="19" spans="1:11" x14ac:dyDescent="0.25">
      <c r="A19" s="73" t="s">
        <v>51</v>
      </c>
      <c r="B19" s="67" t="s">
        <v>720</v>
      </c>
      <c r="C19" s="67" t="s">
        <v>721</v>
      </c>
      <c r="D19" s="67" t="s">
        <v>722</v>
      </c>
      <c r="E19" s="67" t="s">
        <v>706</v>
      </c>
      <c r="F19" s="67" t="s">
        <v>15</v>
      </c>
      <c r="G19" s="67" t="s">
        <v>16</v>
      </c>
      <c r="H19" s="67" t="s">
        <v>683</v>
      </c>
      <c r="I19" s="67" t="s">
        <v>689</v>
      </c>
      <c r="J19" s="68">
        <v>35986</v>
      </c>
      <c r="K19" s="74">
        <v>41830</v>
      </c>
    </row>
    <row r="20" spans="1:11" x14ac:dyDescent="0.25">
      <c r="A20" s="73" t="s">
        <v>53</v>
      </c>
      <c r="B20" s="67" t="s">
        <v>723</v>
      </c>
      <c r="C20" s="67" t="s">
        <v>724</v>
      </c>
      <c r="D20" s="67" t="s">
        <v>725</v>
      </c>
      <c r="E20" s="67" t="s">
        <v>706</v>
      </c>
      <c r="F20" s="67" t="s">
        <v>15</v>
      </c>
      <c r="G20" s="67" t="s">
        <v>16</v>
      </c>
      <c r="H20" s="67" t="s">
        <v>683</v>
      </c>
      <c r="I20" s="67" t="s">
        <v>684</v>
      </c>
      <c r="J20" s="68">
        <v>35986</v>
      </c>
      <c r="K20" s="74">
        <v>41830</v>
      </c>
    </row>
    <row r="21" spans="1:11" x14ac:dyDescent="0.25">
      <c r="A21" s="73" t="s">
        <v>55</v>
      </c>
      <c r="B21" s="67" t="s">
        <v>54</v>
      </c>
      <c r="C21" s="67" t="s">
        <v>726</v>
      </c>
      <c r="D21" s="67" t="s">
        <v>727</v>
      </c>
      <c r="E21" s="67" t="s">
        <v>728</v>
      </c>
      <c r="F21" s="67" t="s">
        <v>15</v>
      </c>
      <c r="G21" s="67" t="s">
        <v>16</v>
      </c>
      <c r="H21" s="67" t="s">
        <v>683</v>
      </c>
      <c r="I21" s="67" t="s">
        <v>689</v>
      </c>
      <c r="J21" s="68">
        <v>35986</v>
      </c>
      <c r="K21" s="74">
        <v>41830</v>
      </c>
    </row>
    <row r="22" spans="1:11" x14ac:dyDescent="0.25">
      <c r="A22" s="73" t="s">
        <v>57</v>
      </c>
      <c r="B22" s="67" t="s">
        <v>56</v>
      </c>
      <c r="C22" s="67" t="s">
        <v>729</v>
      </c>
      <c r="D22" s="67" t="s">
        <v>730</v>
      </c>
      <c r="E22" s="67" t="s">
        <v>728</v>
      </c>
      <c r="F22" s="67" t="s">
        <v>15</v>
      </c>
      <c r="G22" s="67" t="s">
        <v>16</v>
      </c>
      <c r="H22" s="67" t="s">
        <v>683</v>
      </c>
      <c r="I22" s="67" t="s">
        <v>684</v>
      </c>
      <c r="J22" s="68">
        <v>35986</v>
      </c>
      <c r="K22" s="74">
        <v>41830</v>
      </c>
    </row>
    <row r="23" spans="1:11" x14ac:dyDescent="0.25">
      <c r="A23" s="73" t="s">
        <v>59</v>
      </c>
      <c r="B23" s="67" t="s">
        <v>731</v>
      </c>
      <c r="C23" s="67" t="s">
        <v>732</v>
      </c>
      <c r="D23" s="67" t="s">
        <v>733</v>
      </c>
      <c r="E23" s="67" t="s">
        <v>728</v>
      </c>
      <c r="F23" s="67" t="s">
        <v>15</v>
      </c>
      <c r="G23" s="67" t="s">
        <v>16</v>
      </c>
      <c r="H23" s="67" t="s">
        <v>683</v>
      </c>
      <c r="I23" s="67" t="s">
        <v>689</v>
      </c>
      <c r="J23" s="68">
        <v>36732</v>
      </c>
      <c r="K23" s="74">
        <v>42941</v>
      </c>
    </row>
    <row r="24" spans="1:11" x14ac:dyDescent="0.25">
      <c r="A24" s="73" t="s">
        <v>61</v>
      </c>
      <c r="B24" s="67" t="s">
        <v>60</v>
      </c>
      <c r="C24" s="67" t="s">
        <v>734</v>
      </c>
      <c r="D24" s="67" t="s">
        <v>735</v>
      </c>
      <c r="E24" s="67" t="s">
        <v>728</v>
      </c>
      <c r="F24" s="67" t="s">
        <v>15</v>
      </c>
      <c r="G24" s="67" t="s">
        <v>16</v>
      </c>
      <c r="H24" s="67" t="s">
        <v>683</v>
      </c>
      <c r="I24" s="67" t="s">
        <v>684</v>
      </c>
      <c r="J24" s="68">
        <v>33771</v>
      </c>
      <c r="K24" s="74">
        <v>42537</v>
      </c>
    </row>
    <row r="25" spans="1:11" x14ac:dyDescent="0.25">
      <c r="A25" s="73" t="s">
        <v>63</v>
      </c>
      <c r="B25" s="67" t="s">
        <v>62</v>
      </c>
      <c r="C25" s="67" t="s">
        <v>736</v>
      </c>
      <c r="D25" s="67" t="s">
        <v>737</v>
      </c>
      <c r="E25" s="67" t="s">
        <v>728</v>
      </c>
      <c r="F25" s="67" t="s">
        <v>15</v>
      </c>
      <c r="G25" s="67" t="s">
        <v>16</v>
      </c>
      <c r="H25" s="67" t="s">
        <v>683</v>
      </c>
      <c r="I25" s="67" t="s">
        <v>689</v>
      </c>
      <c r="J25" s="68">
        <v>29259</v>
      </c>
      <c r="K25" s="74">
        <v>40217</v>
      </c>
    </row>
    <row r="26" spans="1:11" x14ac:dyDescent="0.25">
      <c r="A26" s="73" t="s">
        <v>65</v>
      </c>
      <c r="B26" s="67" t="s">
        <v>64</v>
      </c>
      <c r="C26" s="67" t="s">
        <v>738</v>
      </c>
      <c r="D26" s="67" t="s">
        <v>739</v>
      </c>
      <c r="E26" s="67" t="s">
        <v>728</v>
      </c>
      <c r="F26" s="67" t="s">
        <v>15</v>
      </c>
      <c r="G26" s="67" t="s">
        <v>16</v>
      </c>
      <c r="H26" s="67" t="s">
        <v>683</v>
      </c>
      <c r="I26" s="67" t="s">
        <v>684</v>
      </c>
      <c r="J26" s="68">
        <v>37244</v>
      </c>
      <c r="K26" s="74">
        <v>42357</v>
      </c>
    </row>
    <row r="27" spans="1:11" x14ac:dyDescent="0.25">
      <c r="A27" s="73" t="s">
        <v>67</v>
      </c>
      <c r="B27" s="67" t="s">
        <v>66</v>
      </c>
      <c r="C27" s="67" t="s">
        <v>740</v>
      </c>
      <c r="D27" s="67" t="s">
        <v>741</v>
      </c>
      <c r="E27" s="67" t="s">
        <v>728</v>
      </c>
      <c r="F27" s="67" t="s">
        <v>15</v>
      </c>
      <c r="G27" s="67" t="s">
        <v>16</v>
      </c>
      <c r="H27" s="67" t="s">
        <v>683</v>
      </c>
      <c r="I27" s="67" t="s">
        <v>684</v>
      </c>
      <c r="J27" s="68">
        <v>36352</v>
      </c>
      <c r="K27" s="74">
        <v>41466</v>
      </c>
    </row>
    <row r="28" spans="1:11" x14ac:dyDescent="0.25">
      <c r="A28" s="73" t="s">
        <v>69</v>
      </c>
      <c r="B28" s="67" t="s">
        <v>742</v>
      </c>
      <c r="C28" s="67" t="s">
        <v>743</v>
      </c>
      <c r="D28" s="67" t="s">
        <v>744</v>
      </c>
      <c r="E28" s="67" t="s">
        <v>728</v>
      </c>
      <c r="F28" s="67" t="s">
        <v>15</v>
      </c>
      <c r="G28" s="67" t="s">
        <v>16</v>
      </c>
      <c r="H28" s="67" t="s">
        <v>683</v>
      </c>
      <c r="I28" s="67" t="s">
        <v>689</v>
      </c>
      <c r="J28" s="68">
        <v>31071</v>
      </c>
      <c r="K28" s="74">
        <v>40567</v>
      </c>
    </row>
    <row r="29" spans="1:11" x14ac:dyDescent="0.25">
      <c r="A29" s="73" t="s">
        <v>71</v>
      </c>
      <c r="B29" s="67" t="s">
        <v>70</v>
      </c>
      <c r="C29" s="67" t="s">
        <v>745</v>
      </c>
      <c r="D29" s="67" t="s">
        <v>746</v>
      </c>
      <c r="E29" s="67" t="s">
        <v>728</v>
      </c>
      <c r="F29" s="67" t="s">
        <v>15</v>
      </c>
      <c r="G29" s="67" t="s">
        <v>16</v>
      </c>
      <c r="H29" s="67" t="s">
        <v>683</v>
      </c>
      <c r="I29" s="67" t="s">
        <v>684</v>
      </c>
      <c r="J29" s="68">
        <v>36656</v>
      </c>
      <c r="K29" s="74">
        <v>42865</v>
      </c>
    </row>
    <row r="30" spans="1:11" x14ac:dyDescent="0.25">
      <c r="A30" s="73" t="s">
        <v>73</v>
      </c>
      <c r="B30" s="67" t="s">
        <v>72</v>
      </c>
      <c r="C30" s="67" t="s">
        <v>747</v>
      </c>
      <c r="D30" s="67" t="s">
        <v>748</v>
      </c>
      <c r="E30" s="67" t="s">
        <v>728</v>
      </c>
      <c r="F30" s="67" t="s">
        <v>15</v>
      </c>
      <c r="G30" s="67" t="s">
        <v>16</v>
      </c>
      <c r="H30" s="67" t="s">
        <v>683</v>
      </c>
      <c r="I30" s="67" t="s">
        <v>689</v>
      </c>
      <c r="J30" s="68">
        <v>36071</v>
      </c>
      <c r="K30" s="74">
        <v>41915</v>
      </c>
    </row>
    <row r="31" spans="1:11" x14ac:dyDescent="0.25">
      <c r="A31" s="73" t="s">
        <v>75</v>
      </c>
      <c r="B31" s="67" t="s">
        <v>74</v>
      </c>
      <c r="C31" s="67" t="s">
        <v>749</v>
      </c>
      <c r="D31" s="67" t="s">
        <v>750</v>
      </c>
      <c r="E31" s="67" t="s">
        <v>751</v>
      </c>
      <c r="F31" s="67" t="s">
        <v>15</v>
      </c>
      <c r="G31" s="67" t="s">
        <v>16</v>
      </c>
      <c r="H31" s="67" t="s">
        <v>683</v>
      </c>
      <c r="I31" s="67" t="s">
        <v>689</v>
      </c>
      <c r="J31" s="68">
        <v>36968</v>
      </c>
      <c r="K31" s="74">
        <v>42081</v>
      </c>
    </row>
    <row r="32" spans="1:11" x14ac:dyDescent="0.25">
      <c r="A32" s="73" t="s">
        <v>78</v>
      </c>
      <c r="B32" s="67" t="s">
        <v>77</v>
      </c>
      <c r="C32" s="67" t="s">
        <v>752</v>
      </c>
      <c r="D32" s="67" t="s">
        <v>753</v>
      </c>
      <c r="E32" s="67" t="s">
        <v>751</v>
      </c>
      <c r="F32" s="67" t="s">
        <v>15</v>
      </c>
      <c r="G32" s="67" t="s">
        <v>16</v>
      </c>
      <c r="H32" s="67" t="s">
        <v>683</v>
      </c>
      <c r="I32" s="67" t="s">
        <v>689</v>
      </c>
      <c r="J32" s="68">
        <v>33913</v>
      </c>
      <c r="K32" s="74">
        <v>42679</v>
      </c>
    </row>
    <row r="33" spans="1:11" x14ac:dyDescent="0.25">
      <c r="A33" s="73" t="s">
        <v>80</v>
      </c>
      <c r="B33" s="67" t="s">
        <v>754</v>
      </c>
      <c r="C33" s="67" t="s">
        <v>755</v>
      </c>
      <c r="D33" s="67" t="s">
        <v>756</v>
      </c>
      <c r="E33" s="67" t="s">
        <v>757</v>
      </c>
      <c r="F33" s="67" t="s">
        <v>15</v>
      </c>
      <c r="G33" s="67" t="s">
        <v>16</v>
      </c>
      <c r="H33" s="67" t="s">
        <v>683</v>
      </c>
      <c r="I33" s="67" t="s">
        <v>689</v>
      </c>
      <c r="J33" s="68">
        <v>36495</v>
      </c>
      <c r="K33" s="74">
        <v>41609</v>
      </c>
    </row>
    <row r="34" spans="1:11" x14ac:dyDescent="0.25">
      <c r="A34" s="73" t="s">
        <v>83</v>
      </c>
      <c r="B34" s="67" t="s">
        <v>82</v>
      </c>
      <c r="C34" s="67" t="s">
        <v>758</v>
      </c>
      <c r="D34" s="67" t="s">
        <v>759</v>
      </c>
      <c r="E34" s="67" t="s">
        <v>757</v>
      </c>
      <c r="F34" s="67" t="s">
        <v>15</v>
      </c>
      <c r="G34" s="67" t="s">
        <v>16</v>
      </c>
      <c r="H34" s="67" t="s">
        <v>683</v>
      </c>
      <c r="I34" s="67" t="s">
        <v>684</v>
      </c>
      <c r="J34" s="68">
        <v>36570</v>
      </c>
      <c r="K34" s="74">
        <v>40953</v>
      </c>
    </row>
    <row r="35" spans="1:11" x14ac:dyDescent="0.25">
      <c r="A35" s="73" t="s">
        <v>85</v>
      </c>
      <c r="B35" s="67" t="s">
        <v>84</v>
      </c>
      <c r="C35" s="67" t="s">
        <v>760</v>
      </c>
      <c r="D35" s="67" t="s">
        <v>761</v>
      </c>
      <c r="E35" s="67" t="s">
        <v>757</v>
      </c>
      <c r="F35" s="67" t="s">
        <v>15</v>
      </c>
      <c r="G35" s="67" t="s">
        <v>16</v>
      </c>
      <c r="H35" s="67" t="s">
        <v>683</v>
      </c>
      <c r="I35" s="67" t="s">
        <v>684</v>
      </c>
      <c r="J35" s="68">
        <v>36791</v>
      </c>
      <c r="K35" s="74">
        <v>43000</v>
      </c>
    </row>
    <row r="36" spans="1:11" x14ac:dyDescent="0.25">
      <c r="A36" s="73" t="s">
        <v>87</v>
      </c>
      <c r="B36" s="67" t="s">
        <v>762</v>
      </c>
      <c r="C36" s="67" t="s">
        <v>763</v>
      </c>
      <c r="D36" s="67" t="s">
        <v>764</v>
      </c>
      <c r="E36" s="67" t="s">
        <v>765</v>
      </c>
      <c r="F36" s="67" t="s">
        <v>15</v>
      </c>
      <c r="G36" s="67" t="s">
        <v>16</v>
      </c>
      <c r="H36" s="67" t="s">
        <v>683</v>
      </c>
      <c r="I36" s="67" t="s">
        <v>684</v>
      </c>
      <c r="J36" s="68">
        <v>35964</v>
      </c>
      <c r="K36" s="74">
        <v>41808</v>
      </c>
    </row>
    <row r="37" spans="1:11" x14ac:dyDescent="0.25">
      <c r="A37" s="73" t="s">
        <v>89</v>
      </c>
      <c r="B37" s="67" t="s">
        <v>88</v>
      </c>
      <c r="C37" s="67" t="s">
        <v>766</v>
      </c>
      <c r="D37" s="67" t="s">
        <v>767</v>
      </c>
      <c r="E37" s="67" t="s">
        <v>765</v>
      </c>
      <c r="F37" s="67" t="s">
        <v>15</v>
      </c>
      <c r="G37" s="67" t="s">
        <v>16</v>
      </c>
      <c r="H37" s="67" t="s">
        <v>683</v>
      </c>
      <c r="I37" s="67" t="s">
        <v>684</v>
      </c>
      <c r="J37" s="68">
        <v>31358</v>
      </c>
      <c r="K37" s="74">
        <v>40854</v>
      </c>
    </row>
    <row r="38" spans="1:11" x14ac:dyDescent="0.25">
      <c r="A38" s="73" t="s">
        <v>91</v>
      </c>
      <c r="B38" s="67" t="s">
        <v>90</v>
      </c>
      <c r="C38" s="67" t="s">
        <v>768</v>
      </c>
      <c r="D38" s="67" t="s">
        <v>769</v>
      </c>
      <c r="E38" s="67" t="s">
        <v>765</v>
      </c>
      <c r="F38" s="67" t="s">
        <v>15</v>
      </c>
      <c r="G38" s="67" t="s">
        <v>16</v>
      </c>
      <c r="H38" s="67" t="s">
        <v>683</v>
      </c>
      <c r="I38" s="67" t="s">
        <v>684</v>
      </c>
      <c r="J38" s="68">
        <v>36575</v>
      </c>
      <c r="K38" s="74">
        <v>42785</v>
      </c>
    </row>
    <row r="39" spans="1:11" x14ac:dyDescent="0.25">
      <c r="A39" s="73" t="s">
        <v>93</v>
      </c>
      <c r="B39" s="67" t="s">
        <v>92</v>
      </c>
      <c r="C39" s="67" t="s">
        <v>770</v>
      </c>
      <c r="D39" s="67" t="s">
        <v>771</v>
      </c>
      <c r="E39" s="67" t="s">
        <v>765</v>
      </c>
      <c r="F39" s="67" t="s">
        <v>15</v>
      </c>
      <c r="G39" s="67" t="s">
        <v>16</v>
      </c>
      <c r="H39" s="67" t="s">
        <v>683</v>
      </c>
      <c r="I39" s="67" t="s">
        <v>684</v>
      </c>
      <c r="J39" s="68">
        <v>37131</v>
      </c>
      <c r="K39" s="74">
        <v>42244</v>
      </c>
    </row>
    <row r="40" spans="1:11" x14ac:dyDescent="0.25">
      <c r="A40" s="73" t="s">
        <v>95</v>
      </c>
      <c r="B40" s="67" t="s">
        <v>94</v>
      </c>
      <c r="C40" s="67" t="s">
        <v>772</v>
      </c>
      <c r="D40" s="67" t="s">
        <v>773</v>
      </c>
      <c r="E40" s="67" t="s">
        <v>765</v>
      </c>
      <c r="F40" s="67" t="s">
        <v>15</v>
      </c>
      <c r="G40" s="67" t="s">
        <v>16</v>
      </c>
      <c r="H40" s="67" t="s">
        <v>683</v>
      </c>
      <c r="I40" s="67" t="s">
        <v>689</v>
      </c>
      <c r="J40" s="68">
        <v>36454</v>
      </c>
      <c r="K40" s="74">
        <v>41568</v>
      </c>
    </row>
    <row r="41" spans="1:11" x14ac:dyDescent="0.25">
      <c r="A41" s="73" t="s">
        <v>97</v>
      </c>
      <c r="B41" s="67" t="s">
        <v>96</v>
      </c>
      <c r="C41" s="67" t="s">
        <v>774</v>
      </c>
      <c r="D41" s="67" t="s">
        <v>775</v>
      </c>
      <c r="E41" s="67" t="s">
        <v>765</v>
      </c>
      <c r="F41" s="67" t="s">
        <v>15</v>
      </c>
      <c r="G41" s="67" t="s">
        <v>16</v>
      </c>
      <c r="H41" s="67" t="s">
        <v>683</v>
      </c>
      <c r="I41" s="67" t="s">
        <v>684</v>
      </c>
      <c r="J41" s="68">
        <v>36622</v>
      </c>
      <c r="K41" s="74">
        <v>42831</v>
      </c>
    </row>
    <row r="42" spans="1:11" x14ac:dyDescent="0.25">
      <c r="A42" s="73" t="s">
        <v>99</v>
      </c>
      <c r="B42" s="67" t="s">
        <v>98</v>
      </c>
      <c r="C42" s="67" t="s">
        <v>776</v>
      </c>
      <c r="D42" s="67" t="s">
        <v>777</v>
      </c>
      <c r="E42" s="67" t="s">
        <v>765</v>
      </c>
      <c r="F42" s="67" t="s">
        <v>15</v>
      </c>
      <c r="G42" s="67" t="s">
        <v>16</v>
      </c>
      <c r="H42" s="67" t="s">
        <v>683</v>
      </c>
      <c r="I42" s="67" t="s">
        <v>684</v>
      </c>
      <c r="J42" s="68">
        <v>36539</v>
      </c>
      <c r="K42" s="74">
        <v>40922</v>
      </c>
    </row>
    <row r="43" spans="1:11" x14ac:dyDescent="0.25">
      <c r="A43" s="73" t="s">
        <v>101</v>
      </c>
      <c r="B43" s="67" t="s">
        <v>100</v>
      </c>
      <c r="C43" s="67" t="s">
        <v>778</v>
      </c>
      <c r="D43" s="67" t="s">
        <v>779</v>
      </c>
      <c r="E43" s="67" t="s">
        <v>765</v>
      </c>
      <c r="F43" s="67" t="s">
        <v>15</v>
      </c>
      <c r="G43" s="67" t="s">
        <v>16</v>
      </c>
      <c r="H43" s="67" t="s">
        <v>683</v>
      </c>
      <c r="I43" s="67" t="s">
        <v>689</v>
      </c>
      <c r="J43" s="68">
        <v>35939</v>
      </c>
      <c r="K43" s="74">
        <v>41783</v>
      </c>
    </row>
    <row r="44" spans="1:11" x14ac:dyDescent="0.25">
      <c r="A44" s="73" t="s">
        <v>103</v>
      </c>
      <c r="B44" s="67" t="s">
        <v>102</v>
      </c>
      <c r="C44" s="67" t="s">
        <v>780</v>
      </c>
      <c r="D44" s="67" t="s">
        <v>781</v>
      </c>
      <c r="E44" s="67" t="s">
        <v>765</v>
      </c>
      <c r="F44" s="67" t="s">
        <v>15</v>
      </c>
      <c r="G44" s="67" t="s">
        <v>16</v>
      </c>
      <c r="H44" s="67" t="s">
        <v>683</v>
      </c>
      <c r="I44" s="67" t="s">
        <v>689</v>
      </c>
      <c r="J44" s="68">
        <v>31109</v>
      </c>
      <c r="K44" s="74">
        <v>40605</v>
      </c>
    </row>
    <row r="45" spans="1:11" x14ac:dyDescent="0.25">
      <c r="A45" s="73" t="s">
        <v>105</v>
      </c>
      <c r="B45" s="67" t="s">
        <v>104</v>
      </c>
      <c r="C45" s="67" t="s">
        <v>782</v>
      </c>
      <c r="D45" s="67" t="s">
        <v>783</v>
      </c>
      <c r="E45" s="67" t="s">
        <v>765</v>
      </c>
      <c r="F45" s="67" t="s">
        <v>15</v>
      </c>
      <c r="G45" s="67" t="s">
        <v>16</v>
      </c>
      <c r="H45" s="67" t="s">
        <v>683</v>
      </c>
      <c r="I45" s="67" t="s">
        <v>689</v>
      </c>
      <c r="J45" s="68">
        <v>33631</v>
      </c>
      <c r="K45" s="74">
        <v>42397</v>
      </c>
    </row>
    <row r="46" spans="1:11" x14ac:dyDescent="0.25">
      <c r="A46" s="73" t="s">
        <v>107</v>
      </c>
      <c r="B46" s="67" t="s">
        <v>106</v>
      </c>
      <c r="C46" s="67" t="s">
        <v>784</v>
      </c>
      <c r="D46" s="67" t="s">
        <v>785</v>
      </c>
      <c r="E46" s="67" t="s">
        <v>757</v>
      </c>
      <c r="F46" s="67" t="s">
        <v>15</v>
      </c>
      <c r="G46" s="67" t="s">
        <v>16</v>
      </c>
      <c r="H46" s="67" t="s">
        <v>683</v>
      </c>
      <c r="I46" s="67" t="s">
        <v>684</v>
      </c>
      <c r="J46" s="68">
        <v>36320</v>
      </c>
      <c r="K46" s="74">
        <v>41434</v>
      </c>
    </row>
    <row r="47" spans="1:11" x14ac:dyDescent="0.25">
      <c r="A47" s="73" t="s">
        <v>109</v>
      </c>
      <c r="B47" s="67" t="s">
        <v>108</v>
      </c>
      <c r="C47" s="67" t="s">
        <v>786</v>
      </c>
      <c r="D47" s="67" t="s">
        <v>787</v>
      </c>
      <c r="E47" s="67" t="s">
        <v>757</v>
      </c>
      <c r="F47" s="67" t="s">
        <v>15</v>
      </c>
      <c r="G47" s="67" t="s">
        <v>16</v>
      </c>
      <c r="H47" s="67" t="s">
        <v>683</v>
      </c>
      <c r="I47" s="67" t="s">
        <v>689</v>
      </c>
      <c r="J47" s="68">
        <v>36600</v>
      </c>
      <c r="K47" s="74">
        <v>42809</v>
      </c>
    </row>
    <row r="48" spans="1:11" x14ac:dyDescent="0.25">
      <c r="A48" s="73" t="s">
        <v>111</v>
      </c>
      <c r="B48" s="67" t="s">
        <v>110</v>
      </c>
      <c r="C48" s="67" t="s">
        <v>788</v>
      </c>
      <c r="D48" s="67" t="s">
        <v>789</v>
      </c>
      <c r="E48" s="67" t="s">
        <v>757</v>
      </c>
      <c r="F48" s="67" t="s">
        <v>15</v>
      </c>
      <c r="G48" s="67" t="s">
        <v>16</v>
      </c>
      <c r="H48" s="67" t="s">
        <v>683</v>
      </c>
      <c r="I48" s="67" t="s">
        <v>684</v>
      </c>
      <c r="J48" s="68">
        <v>37236</v>
      </c>
      <c r="K48" s="74">
        <v>42349</v>
      </c>
    </row>
    <row r="49" spans="1:11" x14ac:dyDescent="0.25">
      <c r="A49" s="73" t="s">
        <v>113</v>
      </c>
      <c r="B49" s="67" t="s">
        <v>790</v>
      </c>
      <c r="C49" s="67" t="s">
        <v>791</v>
      </c>
      <c r="D49" s="67" t="s">
        <v>792</v>
      </c>
      <c r="E49" s="67" t="s">
        <v>757</v>
      </c>
      <c r="F49" s="67" t="s">
        <v>15</v>
      </c>
      <c r="G49" s="67" t="s">
        <v>16</v>
      </c>
      <c r="H49" s="67" t="s">
        <v>683</v>
      </c>
      <c r="I49" s="67" t="s">
        <v>684</v>
      </c>
      <c r="J49" s="68">
        <v>33640</v>
      </c>
      <c r="K49" s="74">
        <v>42406</v>
      </c>
    </row>
    <row r="50" spans="1:11" x14ac:dyDescent="0.25">
      <c r="A50" s="73" t="s">
        <v>115</v>
      </c>
      <c r="B50" s="67" t="s">
        <v>114</v>
      </c>
      <c r="C50" s="67" t="s">
        <v>793</v>
      </c>
      <c r="D50" s="67" t="s">
        <v>794</v>
      </c>
      <c r="E50" s="67" t="s">
        <v>757</v>
      </c>
      <c r="F50" s="67" t="s">
        <v>15</v>
      </c>
      <c r="G50" s="67" t="s">
        <v>16</v>
      </c>
      <c r="H50" s="67" t="s">
        <v>683</v>
      </c>
      <c r="I50" s="67" t="s">
        <v>684</v>
      </c>
      <c r="J50" s="68">
        <v>35990</v>
      </c>
      <c r="K50" s="74">
        <v>41834</v>
      </c>
    </row>
    <row r="51" spans="1:11" x14ac:dyDescent="0.25">
      <c r="A51" s="73" t="s">
        <v>117</v>
      </c>
      <c r="B51" s="67" t="s">
        <v>116</v>
      </c>
      <c r="C51" s="67" t="s">
        <v>795</v>
      </c>
      <c r="D51" s="67" t="s">
        <v>796</v>
      </c>
      <c r="E51" s="67" t="s">
        <v>797</v>
      </c>
      <c r="F51" s="67" t="s">
        <v>15</v>
      </c>
      <c r="G51" s="67" t="s">
        <v>16</v>
      </c>
      <c r="H51" s="67" t="s">
        <v>683</v>
      </c>
      <c r="I51" s="67" t="s">
        <v>684</v>
      </c>
      <c r="J51" s="68">
        <v>36172</v>
      </c>
      <c r="K51" s="74">
        <v>41286</v>
      </c>
    </row>
    <row r="52" spans="1:11" x14ac:dyDescent="0.25">
      <c r="A52" s="73" t="s">
        <v>120</v>
      </c>
      <c r="B52" s="67" t="s">
        <v>119</v>
      </c>
      <c r="C52" s="67" t="s">
        <v>798</v>
      </c>
      <c r="D52" s="67" t="s">
        <v>799</v>
      </c>
      <c r="E52" s="67" t="s">
        <v>797</v>
      </c>
      <c r="F52" s="67" t="s">
        <v>15</v>
      </c>
      <c r="G52" s="67" t="s">
        <v>16</v>
      </c>
      <c r="H52" s="67" t="s">
        <v>683</v>
      </c>
      <c r="I52" s="67" t="s">
        <v>684</v>
      </c>
      <c r="J52" s="68">
        <v>36840</v>
      </c>
      <c r="K52" s="74">
        <v>41223</v>
      </c>
    </row>
    <row r="53" spans="1:11" x14ac:dyDescent="0.25">
      <c r="A53" s="73" t="s">
        <v>122</v>
      </c>
      <c r="B53" s="67" t="s">
        <v>121</v>
      </c>
      <c r="C53" s="67" t="s">
        <v>800</v>
      </c>
      <c r="D53" s="67" t="s">
        <v>801</v>
      </c>
      <c r="E53" s="67" t="s">
        <v>797</v>
      </c>
      <c r="F53" s="67" t="s">
        <v>15</v>
      </c>
      <c r="G53" s="67" t="s">
        <v>16</v>
      </c>
      <c r="H53" s="67" t="s">
        <v>683</v>
      </c>
      <c r="I53" s="67" t="s">
        <v>684</v>
      </c>
      <c r="J53" s="68">
        <v>36763</v>
      </c>
      <c r="K53" s="74">
        <v>42972</v>
      </c>
    </row>
    <row r="54" spans="1:11" x14ac:dyDescent="0.25">
      <c r="A54" s="73" t="s">
        <v>124</v>
      </c>
      <c r="B54" s="67" t="s">
        <v>123</v>
      </c>
      <c r="C54" s="67" t="s">
        <v>802</v>
      </c>
      <c r="D54" s="67" t="s">
        <v>803</v>
      </c>
      <c r="E54" s="67" t="s">
        <v>797</v>
      </c>
      <c r="F54" s="67" t="s">
        <v>15</v>
      </c>
      <c r="G54" s="67" t="s">
        <v>16</v>
      </c>
      <c r="H54" s="67" t="s">
        <v>683</v>
      </c>
      <c r="I54" s="67" t="s">
        <v>684</v>
      </c>
      <c r="J54" s="68">
        <v>31247</v>
      </c>
      <c r="K54" s="74">
        <v>40743</v>
      </c>
    </row>
    <row r="55" spans="1:11" x14ac:dyDescent="0.25">
      <c r="A55" s="73" t="s">
        <v>126</v>
      </c>
      <c r="B55" s="67" t="s">
        <v>125</v>
      </c>
      <c r="C55" s="67" t="s">
        <v>804</v>
      </c>
      <c r="D55" s="67" t="s">
        <v>805</v>
      </c>
      <c r="E55" s="67" t="s">
        <v>797</v>
      </c>
      <c r="F55" s="67" t="s">
        <v>15</v>
      </c>
      <c r="G55" s="67" t="s">
        <v>16</v>
      </c>
      <c r="H55" s="67" t="s">
        <v>683</v>
      </c>
      <c r="I55" s="67" t="s">
        <v>684</v>
      </c>
      <c r="J55" s="68">
        <v>33707</v>
      </c>
      <c r="K55" s="74">
        <v>42473</v>
      </c>
    </row>
    <row r="56" spans="1:11" x14ac:dyDescent="0.25">
      <c r="A56" s="73" t="s">
        <v>128</v>
      </c>
      <c r="B56" s="67" t="s">
        <v>806</v>
      </c>
      <c r="C56" s="67" t="s">
        <v>807</v>
      </c>
      <c r="D56" s="67" t="s">
        <v>808</v>
      </c>
      <c r="E56" s="67" t="s">
        <v>797</v>
      </c>
      <c r="F56" s="67" t="s">
        <v>15</v>
      </c>
      <c r="G56" s="67" t="s">
        <v>16</v>
      </c>
      <c r="H56" s="67" t="s">
        <v>683</v>
      </c>
      <c r="I56" s="67" t="s">
        <v>689</v>
      </c>
      <c r="J56" s="68">
        <v>36560</v>
      </c>
      <c r="K56" s="74">
        <v>42770</v>
      </c>
    </row>
    <row r="57" spans="1:11" x14ac:dyDescent="0.25">
      <c r="A57" s="73" t="s">
        <v>130</v>
      </c>
      <c r="B57" s="67" t="s">
        <v>129</v>
      </c>
      <c r="C57" s="67" t="s">
        <v>809</v>
      </c>
      <c r="D57" s="67" t="s">
        <v>810</v>
      </c>
      <c r="E57" s="67" t="s">
        <v>797</v>
      </c>
      <c r="F57" s="67" t="s">
        <v>15</v>
      </c>
      <c r="G57" s="67" t="s">
        <v>16</v>
      </c>
      <c r="H57" s="67" t="s">
        <v>683</v>
      </c>
      <c r="I57" s="67" t="s">
        <v>684</v>
      </c>
      <c r="J57" s="68">
        <v>37032</v>
      </c>
      <c r="K57" s="74">
        <v>42145</v>
      </c>
    </row>
    <row r="58" spans="1:11" x14ac:dyDescent="0.25">
      <c r="A58" s="73" t="s">
        <v>132</v>
      </c>
      <c r="B58" s="67" t="s">
        <v>131</v>
      </c>
      <c r="C58" s="67" t="s">
        <v>811</v>
      </c>
      <c r="D58" s="67" t="s">
        <v>753</v>
      </c>
      <c r="E58" s="67" t="s">
        <v>797</v>
      </c>
      <c r="F58" s="67" t="s">
        <v>15</v>
      </c>
      <c r="G58" s="67" t="s">
        <v>16</v>
      </c>
      <c r="H58" s="67" t="s">
        <v>683</v>
      </c>
      <c r="I58" s="67" t="s">
        <v>689</v>
      </c>
      <c r="J58" s="68">
        <v>36847</v>
      </c>
      <c r="K58" s="74">
        <v>41230</v>
      </c>
    </row>
    <row r="59" spans="1:11" x14ac:dyDescent="0.25">
      <c r="A59" s="73" t="s">
        <v>134</v>
      </c>
      <c r="B59" s="67" t="s">
        <v>133</v>
      </c>
      <c r="C59" s="67" t="s">
        <v>812</v>
      </c>
      <c r="D59" s="67" t="s">
        <v>813</v>
      </c>
      <c r="E59" s="67" t="s">
        <v>797</v>
      </c>
      <c r="F59" s="67" t="s">
        <v>15</v>
      </c>
      <c r="G59" s="67" t="s">
        <v>16</v>
      </c>
      <c r="H59" s="67" t="s">
        <v>683</v>
      </c>
      <c r="I59" s="67" t="s">
        <v>684</v>
      </c>
      <c r="J59" s="68">
        <v>36134</v>
      </c>
      <c r="K59" s="74">
        <v>41978</v>
      </c>
    </row>
    <row r="60" spans="1:11" x14ac:dyDescent="0.25">
      <c r="A60" s="73" t="s">
        <v>136</v>
      </c>
      <c r="B60" s="67" t="s">
        <v>135</v>
      </c>
      <c r="C60" s="67" t="s">
        <v>814</v>
      </c>
      <c r="D60" s="67" t="s">
        <v>815</v>
      </c>
      <c r="E60" s="67" t="s">
        <v>797</v>
      </c>
      <c r="F60" s="67" t="s">
        <v>15</v>
      </c>
      <c r="G60" s="67" t="s">
        <v>16</v>
      </c>
      <c r="H60" s="67" t="s">
        <v>683</v>
      </c>
      <c r="I60" s="67" t="s">
        <v>689</v>
      </c>
      <c r="J60" s="68">
        <v>36726</v>
      </c>
      <c r="K60" s="74">
        <v>42935</v>
      </c>
    </row>
    <row r="61" spans="1:11" x14ac:dyDescent="0.25">
      <c r="A61" s="73" t="s">
        <v>138</v>
      </c>
      <c r="B61" s="67" t="s">
        <v>137</v>
      </c>
      <c r="C61" s="67" t="s">
        <v>816</v>
      </c>
      <c r="D61" s="67" t="s">
        <v>817</v>
      </c>
      <c r="E61" s="67" t="s">
        <v>757</v>
      </c>
      <c r="F61" s="67" t="s">
        <v>15</v>
      </c>
      <c r="G61" s="67" t="s">
        <v>16</v>
      </c>
      <c r="H61" s="67" t="s">
        <v>683</v>
      </c>
      <c r="I61" s="67" t="s">
        <v>684</v>
      </c>
      <c r="J61" s="68">
        <v>31088</v>
      </c>
      <c r="K61" s="74">
        <v>40584</v>
      </c>
    </row>
    <row r="62" spans="1:11" x14ac:dyDescent="0.25">
      <c r="A62" s="73" t="s">
        <v>140</v>
      </c>
      <c r="B62" s="67" t="s">
        <v>139</v>
      </c>
      <c r="C62" s="67" t="s">
        <v>818</v>
      </c>
      <c r="D62" s="67" t="s">
        <v>819</v>
      </c>
      <c r="E62" s="67" t="s">
        <v>757</v>
      </c>
      <c r="F62" s="67" t="s">
        <v>15</v>
      </c>
      <c r="G62" s="67" t="s">
        <v>16</v>
      </c>
      <c r="H62" s="67" t="s">
        <v>683</v>
      </c>
      <c r="I62" s="67" t="s">
        <v>684</v>
      </c>
      <c r="J62" s="68">
        <v>29499</v>
      </c>
      <c r="K62" s="74">
        <v>40456</v>
      </c>
    </row>
    <row r="63" spans="1:11" x14ac:dyDescent="0.25">
      <c r="A63" s="73" t="s">
        <v>142</v>
      </c>
      <c r="B63" s="67" t="s">
        <v>141</v>
      </c>
      <c r="C63" s="67" t="s">
        <v>820</v>
      </c>
      <c r="D63" s="67" t="s">
        <v>821</v>
      </c>
      <c r="E63" s="67" t="s">
        <v>822</v>
      </c>
      <c r="F63" s="67" t="s">
        <v>823</v>
      </c>
      <c r="G63" s="67" t="s">
        <v>5</v>
      </c>
      <c r="H63" s="67" t="s">
        <v>683</v>
      </c>
      <c r="I63" s="67" t="s">
        <v>689</v>
      </c>
      <c r="J63" s="68">
        <v>35986</v>
      </c>
      <c r="K63" s="74">
        <v>41830</v>
      </c>
    </row>
    <row r="64" spans="1:11" x14ac:dyDescent="0.25">
      <c r="A64" s="73" t="s">
        <v>146</v>
      </c>
      <c r="B64" s="67" t="s">
        <v>145</v>
      </c>
      <c r="C64" s="67" t="s">
        <v>824</v>
      </c>
      <c r="D64" s="67" t="s">
        <v>825</v>
      </c>
      <c r="E64" s="67" t="s">
        <v>822</v>
      </c>
      <c r="F64" s="67" t="s">
        <v>823</v>
      </c>
      <c r="G64" s="67" t="s">
        <v>5</v>
      </c>
      <c r="H64" s="67" t="s">
        <v>683</v>
      </c>
      <c r="I64" s="67" t="s">
        <v>689</v>
      </c>
      <c r="J64" s="68">
        <v>29499</v>
      </c>
      <c r="K64" s="74">
        <v>40456</v>
      </c>
    </row>
    <row r="65" spans="1:11" x14ac:dyDescent="0.25">
      <c r="A65" s="73" t="s">
        <v>148</v>
      </c>
      <c r="B65" s="67" t="s">
        <v>826</v>
      </c>
      <c r="C65" s="67" t="s">
        <v>827</v>
      </c>
      <c r="D65" s="67" t="s">
        <v>828</v>
      </c>
      <c r="E65" s="67" t="s">
        <v>822</v>
      </c>
      <c r="F65" s="67" t="s">
        <v>823</v>
      </c>
      <c r="G65" s="67" t="s">
        <v>5</v>
      </c>
      <c r="H65" s="67" t="s">
        <v>683</v>
      </c>
      <c r="I65" s="67" t="s">
        <v>684</v>
      </c>
      <c r="J65" s="68">
        <v>36147</v>
      </c>
      <c r="K65" s="74">
        <v>41991</v>
      </c>
    </row>
    <row r="66" spans="1:11" x14ac:dyDescent="0.25">
      <c r="A66" s="73" t="s">
        <v>150</v>
      </c>
      <c r="B66" s="67" t="s">
        <v>149</v>
      </c>
      <c r="C66" s="67" t="s">
        <v>829</v>
      </c>
      <c r="D66" s="67" t="s">
        <v>702</v>
      </c>
      <c r="E66" s="67" t="s">
        <v>830</v>
      </c>
      <c r="F66" s="67" t="s">
        <v>823</v>
      </c>
      <c r="G66" s="67" t="s">
        <v>5</v>
      </c>
      <c r="H66" s="67" t="s">
        <v>683</v>
      </c>
      <c r="I66" s="67" t="s">
        <v>684</v>
      </c>
      <c r="J66" s="68">
        <v>33622</v>
      </c>
      <c r="K66" s="74">
        <v>42388</v>
      </c>
    </row>
    <row r="67" spans="1:11" x14ac:dyDescent="0.25">
      <c r="A67" s="73" t="s">
        <v>152</v>
      </c>
      <c r="B67" s="67" t="s">
        <v>151</v>
      </c>
      <c r="C67" s="67" t="s">
        <v>831</v>
      </c>
      <c r="D67" s="67" t="s">
        <v>832</v>
      </c>
      <c r="E67" s="67" t="s">
        <v>822</v>
      </c>
      <c r="F67" s="67" t="s">
        <v>823</v>
      </c>
      <c r="G67" s="67" t="s">
        <v>5</v>
      </c>
      <c r="H67" s="67" t="s">
        <v>683</v>
      </c>
      <c r="I67" s="67" t="s">
        <v>689</v>
      </c>
      <c r="J67" s="68">
        <v>35986</v>
      </c>
      <c r="K67" s="74">
        <v>41830</v>
      </c>
    </row>
    <row r="68" spans="1:11" x14ac:dyDescent="0.25">
      <c r="A68" s="73" t="s">
        <v>154</v>
      </c>
      <c r="B68" s="67" t="s">
        <v>153</v>
      </c>
      <c r="C68" s="67" t="s">
        <v>833</v>
      </c>
      <c r="D68" s="67" t="s">
        <v>834</v>
      </c>
      <c r="E68" s="67" t="s">
        <v>822</v>
      </c>
      <c r="F68" s="67" t="s">
        <v>823</v>
      </c>
      <c r="G68" s="67" t="s">
        <v>5</v>
      </c>
      <c r="H68" s="67" t="s">
        <v>683</v>
      </c>
      <c r="I68" s="67" t="s">
        <v>684</v>
      </c>
      <c r="J68" s="68">
        <v>35986</v>
      </c>
      <c r="K68" s="74">
        <v>41830</v>
      </c>
    </row>
    <row r="69" spans="1:11" x14ac:dyDescent="0.25">
      <c r="A69" s="73" t="s">
        <v>156</v>
      </c>
      <c r="B69" s="67" t="s">
        <v>155</v>
      </c>
      <c r="C69" s="67" t="s">
        <v>835</v>
      </c>
      <c r="D69" s="67" t="s">
        <v>836</v>
      </c>
      <c r="E69" s="67" t="s">
        <v>837</v>
      </c>
      <c r="F69" s="67" t="s">
        <v>823</v>
      </c>
      <c r="G69" s="67" t="s">
        <v>5</v>
      </c>
      <c r="H69" s="67" t="s">
        <v>683</v>
      </c>
      <c r="I69" s="67" t="s">
        <v>689</v>
      </c>
      <c r="J69" s="68">
        <v>35986</v>
      </c>
      <c r="K69" s="74">
        <v>41830</v>
      </c>
    </row>
    <row r="70" spans="1:11" x14ac:dyDescent="0.25">
      <c r="A70" s="73" t="s">
        <v>159</v>
      </c>
      <c r="B70" s="67" t="s">
        <v>158</v>
      </c>
      <c r="C70" s="67" t="s">
        <v>838</v>
      </c>
      <c r="D70" s="67" t="s">
        <v>839</v>
      </c>
      <c r="E70" s="67" t="s">
        <v>837</v>
      </c>
      <c r="F70" s="67" t="s">
        <v>823</v>
      </c>
      <c r="G70" s="67" t="s">
        <v>5</v>
      </c>
      <c r="H70" s="67" t="s">
        <v>683</v>
      </c>
      <c r="I70" s="67" t="s">
        <v>684</v>
      </c>
      <c r="J70" s="68">
        <v>35986</v>
      </c>
      <c r="K70" s="74">
        <v>41830</v>
      </c>
    </row>
    <row r="71" spans="1:11" x14ac:dyDescent="0.25">
      <c r="A71" s="73" t="s">
        <v>161</v>
      </c>
      <c r="B71" s="67" t="s">
        <v>840</v>
      </c>
      <c r="C71" s="67" t="s">
        <v>841</v>
      </c>
      <c r="D71" s="67" t="s">
        <v>842</v>
      </c>
      <c r="E71" s="67" t="s">
        <v>837</v>
      </c>
      <c r="F71" s="67" t="s">
        <v>823</v>
      </c>
      <c r="G71" s="67" t="s">
        <v>5</v>
      </c>
      <c r="H71" s="67" t="s">
        <v>683</v>
      </c>
      <c r="I71" s="67" t="s">
        <v>684</v>
      </c>
      <c r="J71" s="68">
        <v>35986</v>
      </c>
      <c r="K71" s="74">
        <v>41830</v>
      </c>
    </row>
    <row r="72" spans="1:11" x14ac:dyDescent="0.25">
      <c r="A72" s="73" t="s">
        <v>163</v>
      </c>
      <c r="B72" s="67" t="s">
        <v>843</v>
      </c>
      <c r="C72" s="67" t="s">
        <v>844</v>
      </c>
      <c r="D72" s="67" t="s">
        <v>845</v>
      </c>
      <c r="E72" s="67" t="s">
        <v>837</v>
      </c>
      <c r="F72" s="67" t="s">
        <v>823</v>
      </c>
      <c r="G72" s="67" t="s">
        <v>5</v>
      </c>
      <c r="H72" s="67" t="s">
        <v>683</v>
      </c>
      <c r="I72" s="67" t="s">
        <v>684</v>
      </c>
      <c r="J72" s="68">
        <v>29256</v>
      </c>
      <c r="K72" s="74">
        <v>40214</v>
      </c>
    </row>
    <row r="73" spans="1:11" x14ac:dyDescent="0.25">
      <c r="A73" s="73" t="s">
        <v>165</v>
      </c>
      <c r="B73" s="67" t="s">
        <v>164</v>
      </c>
      <c r="C73" s="67" t="s">
        <v>846</v>
      </c>
      <c r="D73" s="67" t="s">
        <v>847</v>
      </c>
      <c r="E73" s="67" t="s">
        <v>837</v>
      </c>
      <c r="F73" s="67" t="s">
        <v>823</v>
      </c>
      <c r="G73" s="67" t="s">
        <v>5</v>
      </c>
      <c r="H73" s="67" t="s">
        <v>683</v>
      </c>
      <c r="I73" s="67" t="s">
        <v>684</v>
      </c>
      <c r="J73" s="68">
        <v>29259</v>
      </c>
      <c r="K73" s="74">
        <v>40217</v>
      </c>
    </row>
    <row r="74" spans="1:11" x14ac:dyDescent="0.25">
      <c r="A74" s="73" t="s">
        <v>167</v>
      </c>
      <c r="B74" s="67" t="s">
        <v>166</v>
      </c>
      <c r="C74" s="67" t="s">
        <v>848</v>
      </c>
      <c r="D74" s="67" t="s">
        <v>849</v>
      </c>
      <c r="E74" s="67" t="s">
        <v>837</v>
      </c>
      <c r="F74" s="67" t="s">
        <v>823</v>
      </c>
      <c r="G74" s="67" t="s">
        <v>5</v>
      </c>
      <c r="H74" s="67" t="s">
        <v>683</v>
      </c>
      <c r="I74" s="67" t="s">
        <v>684</v>
      </c>
      <c r="J74" s="68">
        <v>37244</v>
      </c>
      <c r="K74" s="74">
        <v>42357</v>
      </c>
    </row>
    <row r="75" spans="1:11" x14ac:dyDescent="0.25">
      <c r="A75" s="73" t="s">
        <v>169</v>
      </c>
      <c r="B75" s="67" t="s">
        <v>168</v>
      </c>
      <c r="C75" s="67" t="s">
        <v>850</v>
      </c>
      <c r="D75" s="67" t="s">
        <v>817</v>
      </c>
      <c r="E75" s="67" t="s">
        <v>837</v>
      </c>
      <c r="F75" s="67" t="s">
        <v>823</v>
      </c>
      <c r="G75" s="67" t="s">
        <v>5</v>
      </c>
      <c r="H75" s="67" t="s">
        <v>683</v>
      </c>
      <c r="I75" s="67" t="s">
        <v>684</v>
      </c>
      <c r="J75" s="68">
        <v>29259</v>
      </c>
      <c r="K75" s="74">
        <v>40217</v>
      </c>
    </row>
    <row r="76" spans="1:11" x14ac:dyDescent="0.25">
      <c r="A76" s="73" t="s">
        <v>171</v>
      </c>
      <c r="B76" s="67" t="s">
        <v>170</v>
      </c>
      <c r="C76" s="67" t="s">
        <v>851</v>
      </c>
      <c r="D76" s="67" t="s">
        <v>852</v>
      </c>
      <c r="E76" s="67" t="s">
        <v>837</v>
      </c>
      <c r="F76" s="67" t="s">
        <v>823</v>
      </c>
      <c r="G76" s="67" t="s">
        <v>5</v>
      </c>
      <c r="H76" s="67" t="s">
        <v>683</v>
      </c>
      <c r="I76" s="67" t="s">
        <v>684</v>
      </c>
      <c r="J76" s="68">
        <v>36661</v>
      </c>
      <c r="K76" s="74">
        <v>41044</v>
      </c>
    </row>
    <row r="77" spans="1:11" x14ac:dyDescent="0.25">
      <c r="A77" s="73" t="s">
        <v>173</v>
      </c>
      <c r="B77" s="67" t="s">
        <v>172</v>
      </c>
      <c r="C77" s="67" t="s">
        <v>853</v>
      </c>
      <c r="D77" s="67" t="s">
        <v>852</v>
      </c>
      <c r="E77" s="67" t="s">
        <v>837</v>
      </c>
      <c r="F77" s="67" t="s">
        <v>823</v>
      </c>
      <c r="G77" s="67" t="s">
        <v>5</v>
      </c>
      <c r="H77" s="67" t="s">
        <v>683</v>
      </c>
      <c r="I77" s="67" t="s">
        <v>684</v>
      </c>
      <c r="J77" s="68">
        <v>36970</v>
      </c>
      <c r="K77" s="74">
        <v>42083</v>
      </c>
    </row>
    <row r="78" spans="1:11" x14ac:dyDescent="0.25">
      <c r="A78" s="73" t="s">
        <v>175</v>
      </c>
      <c r="B78" s="67" t="s">
        <v>174</v>
      </c>
      <c r="C78" s="67" t="s">
        <v>854</v>
      </c>
      <c r="D78" s="67" t="s">
        <v>855</v>
      </c>
      <c r="E78" s="67" t="s">
        <v>837</v>
      </c>
      <c r="F78" s="67" t="s">
        <v>823</v>
      </c>
      <c r="G78" s="67" t="s">
        <v>5</v>
      </c>
      <c r="H78" s="67" t="s">
        <v>683</v>
      </c>
      <c r="I78" s="67" t="s">
        <v>684</v>
      </c>
      <c r="J78" s="68">
        <v>29533</v>
      </c>
      <c r="K78" s="74">
        <v>40490</v>
      </c>
    </row>
    <row r="79" spans="1:11" x14ac:dyDescent="0.25">
      <c r="A79" s="73" t="s">
        <v>177</v>
      </c>
      <c r="B79" s="67" t="s">
        <v>176</v>
      </c>
      <c r="C79" s="67" t="s">
        <v>856</v>
      </c>
      <c r="D79" s="67" t="s">
        <v>801</v>
      </c>
      <c r="E79" s="67" t="s">
        <v>837</v>
      </c>
      <c r="F79" s="67" t="s">
        <v>823</v>
      </c>
      <c r="G79" s="67" t="s">
        <v>5</v>
      </c>
      <c r="H79" s="67" t="s">
        <v>683</v>
      </c>
      <c r="I79" s="67" t="s">
        <v>684</v>
      </c>
      <c r="J79" s="68">
        <v>35986</v>
      </c>
      <c r="K79" s="74">
        <v>41830</v>
      </c>
    </row>
    <row r="80" spans="1:11" x14ac:dyDescent="0.25">
      <c r="A80" s="73" t="s">
        <v>179</v>
      </c>
      <c r="B80" s="67" t="s">
        <v>178</v>
      </c>
      <c r="C80" s="67" t="s">
        <v>857</v>
      </c>
      <c r="D80" s="67" t="s">
        <v>817</v>
      </c>
      <c r="E80" s="67" t="s">
        <v>830</v>
      </c>
      <c r="F80" s="67" t="s">
        <v>823</v>
      </c>
      <c r="G80" s="67" t="s">
        <v>5</v>
      </c>
      <c r="H80" s="67" t="s">
        <v>683</v>
      </c>
      <c r="I80" s="67" t="s">
        <v>684</v>
      </c>
      <c r="J80" s="68">
        <v>33849</v>
      </c>
      <c r="K80" s="74">
        <v>42615</v>
      </c>
    </row>
    <row r="81" spans="1:11" x14ac:dyDescent="0.25">
      <c r="A81" s="73" t="s">
        <v>181</v>
      </c>
      <c r="B81" s="67" t="s">
        <v>180</v>
      </c>
      <c r="C81" s="67" t="s">
        <v>858</v>
      </c>
      <c r="D81" s="67" t="s">
        <v>767</v>
      </c>
      <c r="E81" s="67" t="s">
        <v>830</v>
      </c>
      <c r="F81" s="67" t="s">
        <v>823</v>
      </c>
      <c r="G81" s="67" t="s">
        <v>5</v>
      </c>
      <c r="H81" s="67" t="s">
        <v>683</v>
      </c>
      <c r="I81" s="67" t="s">
        <v>684</v>
      </c>
      <c r="J81" s="68">
        <v>31223</v>
      </c>
      <c r="K81" s="74">
        <v>40719</v>
      </c>
    </row>
    <row r="82" spans="1:11" x14ac:dyDescent="0.25">
      <c r="A82" s="73" t="s">
        <v>183</v>
      </c>
      <c r="B82" s="67" t="s">
        <v>859</v>
      </c>
      <c r="C82" s="67" t="s">
        <v>860</v>
      </c>
      <c r="D82" s="67" t="s">
        <v>861</v>
      </c>
      <c r="E82" s="67" t="s">
        <v>862</v>
      </c>
      <c r="F82" s="67" t="s">
        <v>823</v>
      </c>
      <c r="G82" s="67" t="s">
        <v>5</v>
      </c>
      <c r="H82" s="67" t="s">
        <v>683</v>
      </c>
      <c r="I82" s="67" t="s">
        <v>684</v>
      </c>
      <c r="J82" s="68">
        <v>36204</v>
      </c>
      <c r="K82" s="74">
        <v>41318</v>
      </c>
    </row>
    <row r="83" spans="1:11" x14ac:dyDescent="0.25">
      <c r="A83" s="73" t="s">
        <v>186</v>
      </c>
      <c r="B83" s="67" t="s">
        <v>185</v>
      </c>
      <c r="C83" s="67" t="s">
        <v>863</v>
      </c>
      <c r="D83" s="67" t="s">
        <v>864</v>
      </c>
      <c r="E83" s="67" t="s">
        <v>862</v>
      </c>
      <c r="F83" s="67" t="s">
        <v>823</v>
      </c>
      <c r="G83" s="67" t="s">
        <v>5</v>
      </c>
      <c r="H83" s="67" t="s">
        <v>683</v>
      </c>
      <c r="I83" s="67" t="s">
        <v>684</v>
      </c>
      <c r="J83" s="68">
        <v>36768</v>
      </c>
      <c r="K83" s="74">
        <v>42977</v>
      </c>
    </row>
    <row r="84" spans="1:11" x14ac:dyDescent="0.25">
      <c r="A84" s="73" t="s">
        <v>188</v>
      </c>
      <c r="B84" s="67" t="s">
        <v>187</v>
      </c>
      <c r="C84" s="67" t="s">
        <v>865</v>
      </c>
      <c r="D84" s="67" t="s">
        <v>866</v>
      </c>
      <c r="E84" s="67" t="s">
        <v>862</v>
      </c>
      <c r="F84" s="67" t="s">
        <v>823</v>
      </c>
      <c r="G84" s="67" t="s">
        <v>5</v>
      </c>
      <c r="H84" s="67" t="s">
        <v>683</v>
      </c>
      <c r="I84" s="67" t="s">
        <v>684</v>
      </c>
      <c r="J84" s="68">
        <v>29499</v>
      </c>
      <c r="K84" s="74">
        <v>40456</v>
      </c>
    </row>
    <row r="85" spans="1:11" x14ac:dyDescent="0.25">
      <c r="A85" s="73" t="s">
        <v>190</v>
      </c>
      <c r="B85" s="67" t="s">
        <v>867</v>
      </c>
      <c r="C85" s="67" t="s">
        <v>868</v>
      </c>
      <c r="D85" s="67" t="s">
        <v>869</v>
      </c>
      <c r="E85" s="67" t="s">
        <v>862</v>
      </c>
      <c r="F85" s="67" t="s">
        <v>823</v>
      </c>
      <c r="G85" s="67" t="s">
        <v>5</v>
      </c>
      <c r="H85" s="67" t="s">
        <v>683</v>
      </c>
      <c r="I85" s="67" t="s">
        <v>684</v>
      </c>
      <c r="J85" s="68">
        <v>36147</v>
      </c>
      <c r="K85" s="74">
        <v>41991</v>
      </c>
    </row>
    <row r="86" spans="1:11" x14ac:dyDescent="0.25">
      <c r="A86" s="73" t="s">
        <v>192</v>
      </c>
      <c r="B86" s="67" t="s">
        <v>191</v>
      </c>
      <c r="C86" s="67" t="s">
        <v>870</v>
      </c>
      <c r="D86" s="67" t="s">
        <v>871</v>
      </c>
      <c r="E86" s="67" t="s">
        <v>862</v>
      </c>
      <c r="F86" s="67" t="s">
        <v>823</v>
      </c>
      <c r="G86" s="67" t="s">
        <v>5</v>
      </c>
      <c r="H86" s="67" t="s">
        <v>683</v>
      </c>
      <c r="I86" s="67" t="s">
        <v>689</v>
      </c>
      <c r="J86" s="68">
        <v>33622</v>
      </c>
      <c r="K86" s="74">
        <v>42388</v>
      </c>
    </row>
    <row r="87" spans="1:11" x14ac:dyDescent="0.25">
      <c r="A87" s="73" t="s">
        <v>194</v>
      </c>
      <c r="B87" s="67" t="s">
        <v>193</v>
      </c>
      <c r="C87" s="67" t="s">
        <v>872</v>
      </c>
      <c r="D87" s="67" t="s">
        <v>785</v>
      </c>
      <c r="E87" s="67" t="s">
        <v>822</v>
      </c>
      <c r="F87" s="67" t="s">
        <v>823</v>
      </c>
      <c r="G87" s="67" t="s">
        <v>5</v>
      </c>
      <c r="H87" s="67" t="s">
        <v>683</v>
      </c>
      <c r="I87" s="67" t="s">
        <v>684</v>
      </c>
      <c r="J87" s="68">
        <v>35986</v>
      </c>
      <c r="K87" s="74">
        <v>41830</v>
      </c>
    </row>
    <row r="88" spans="1:11" x14ac:dyDescent="0.25">
      <c r="A88" s="73" t="s">
        <v>196</v>
      </c>
      <c r="B88" s="67" t="s">
        <v>195</v>
      </c>
      <c r="C88" s="67" t="s">
        <v>873</v>
      </c>
      <c r="D88" s="67" t="s">
        <v>874</v>
      </c>
      <c r="E88" s="67" t="s">
        <v>830</v>
      </c>
      <c r="F88" s="67" t="s">
        <v>823</v>
      </c>
      <c r="G88" s="67" t="s">
        <v>5</v>
      </c>
      <c r="H88" s="67" t="s">
        <v>683</v>
      </c>
      <c r="I88" s="67" t="s">
        <v>684</v>
      </c>
      <c r="J88" s="68">
        <v>35986</v>
      </c>
      <c r="K88" s="74">
        <v>41830</v>
      </c>
    </row>
    <row r="89" spans="1:11" x14ac:dyDescent="0.25">
      <c r="A89" s="73" t="s">
        <v>198</v>
      </c>
      <c r="B89" s="67" t="s">
        <v>197</v>
      </c>
      <c r="C89" s="67" t="s">
        <v>875</v>
      </c>
      <c r="D89" s="67" t="s">
        <v>876</v>
      </c>
      <c r="E89" s="67" t="s">
        <v>830</v>
      </c>
      <c r="F89" s="67" t="s">
        <v>823</v>
      </c>
      <c r="G89" s="67" t="s">
        <v>5</v>
      </c>
      <c r="H89" s="67" t="s">
        <v>683</v>
      </c>
      <c r="I89" s="67" t="s">
        <v>684</v>
      </c>
      <c r="J89" s="68">
        <v>35986</v>
      </c>
      <c r="K89" s="74">
        <v>41830</v>
      </c>
    </row>
    <row r="90" spans="1:11" x14ac:dyDescent="0.25">
      <c r="A90" s="73" t="s">
        <v>200</v>
      </c>
      <c r="B90" s="67" t="s">
        <v>199</v>
      </c>
      <c r="C90" s="67" t="s">
        <v>877</v>
      </c>
      <c r="D90" s="67" t="s">
        <v>878</v>
      </c>
      <c r="E90" s="67" t="s">
        <v>830</v>
      </c>
      <c r="F90" s="67" t="s">
        <v>823</v>
      </c>
      <c r="G90" s="67" t="s">
        <v>5</v>
      </c>
      <c r="H90" s="67" t="s">
        <v>683</v>
      </c>
      <c r="I90" s="67" t="s">
        <v>689</v>
      </c>
      <c r="J90" s="68">
        <v>35986</v>
      </c>
      <c r="K90" s="74">
        <v>41830</v>
      </c>
    </row>
    <row r="91" spans="1:11" x14ac:dyDescent="0.25">
      <c r="A91" s="73" t="s">
        <v>202</v>
      </c>
      <c r="B91" s="67" t="s">
        <v>201</v>
      </c>
      <c r="C91" s="67" t="s">
        <v>879</v>
      </c>
      <c r="D91" s="67" t="s">
        <v>880</v>
      </c>
      <c r="E91" s="67" t="s">
        <v>862</v>
      </c>
      <c r="F91" s="67" t="s">
        <v>823</v>
      </c>
      <c r="G91" s="67" t="s">
        <v>5</v>
      </c>
      <c r="H91" s="67" t="s">
        <v>683</v>
      </c>
      <c r="I91" s="67" t="s">
        <v>689</v>
      </c>
      <c r="J91" s="68">
        <v>35986</v>
      </c>
      <c r="K91" s="74">
        <v>41830</v>
      </c>
    </row>
    <row r="92" spans="1:11" x14ac:dyDescent="0.25">
      <c r="A92" s="73" t="s">
        <v>204</v>
      </c>
      <c r="B92" s="67" t="s">
        <v>203</v>
      </c>
      <c r="C92" s="67" t="s">
        <v>881</v>
      </c>
      <c r="D92" s="67" t="s">
        <v>869</v>
      </c>
      <c r="E92" s="67" t="s">
        <v>862</v>
      </c>
      <c r="F92" s="67" t="s">
        <v>823</v>
      </c>
      <c r="G92" s="67" t="s">
        <v>5</v>
      </c>
      <c r="H92" s="67" t="s">
        <v>683</v>
      </c>
      <c r="I92" s="67" t="s">
        <v>684</v>
      </c>
      <c r="J92" s="68">
        <v>35986</v>
      </c>
      <c r="K92" s="74">
        <v>41830</v>
      </c>
    </row>
    <row r="93" spans="1:11" x14ac:dyDescent="0.25">
      <c r="A93" s="73" t="s">
        <v>206</v>
      </c>
      <c r="B93" s="67" t="s">
        <v>205</v>
      </c>
      <c r="C93" s="67" t="s">
        <v>882</v>
      </c>
      <c r="D93" s="67" t="s">
        <v>883</v>
      </c>
      <c r="E93" s="67" t="s">
        <v>822</v>
      </c>
      <c r="F93" s="67" t="s">
        <v>823</v>
      </c>
      <c r="G93" s="67" t="s">
        <v>5</v>
      </c>
      <c r="H93" s="67" t="s">
        <v>683</v>
      </c>
      <c r="I93" s="67" t="s">
        <v>684</v>
      </c>
      <c r="J93" s="68">
        <v>35986</v>
      </c>
      <c r="K93" s="74">
        <v>41830</v>
      </c>
    </row>
    <row r="94" spans="1:11" x14ac:dyDescent="0.25">
      <c r="A94" s="73" t="s">
        <v>208</v>
      </c>
      <c r="B94" s="67" t="s">
        <v>207</v>
      </c>
      <c r="C94" s="67" t="s">
        <v>884</v>
      </c>
      <c r="D94" s="67" t="s">
        <v>885</v>
      </c>
      <c r="E94" s="67" t="s">
        <v>822</v>
      </c>
      <c r="F94" s="67" t="s">
        <v>823</v>
      </c>
      <c r="G94" s="67" t="s">
        <v>5</v>
      </c>
      <c r="H94" s="67" t="s">
        <v>683</v>
      </c>
      <c r="I94" s="67" t="s">
        <v>689</v>
      </c>
      <c r="J94" s="68">
        <v>35986</v>
      </c>
      <c r="K94" s="74">
        <v>41830</v>
      </c>
    </row>
    <row r="95" spans="1:11" x14ac:dyDescent="0.25">
      <c r="A95" s="73" t="s">
        <v>210</v>
      </c>
      <c r="B95" s="67" t="s">
        <v>209</v>
      </c>
      <c r="C95" s="67" t="s">
        <v>886</v>
      </c>
      <c r="D95" s="67" t="s">
        <v>725</v>
      </c>
      <c r="E95" s="67" t="s">
        <v>830</v>
      </c>
      <c r="F95" s="67" t="s">
        <v>823</v>
      </c>
      <c r="G95" s="67" t="s">
        <v>5</v>
      </c>
      <c r="H95" s="67" t="s">
        <v>683</v>
      </c>
      <c r="I95" s="67" t="s">
        <v>684</v>
      </c>
      <c r="J95" s="68">
        <v>35986</v>
      </c>
      <c r="K95" s="74">
        <v>41830</v>
      </c>
    </row>
    <row r="96" spans="1:11" x14ac:dyDescent="0.25">
      <c r="A96" s="73" t="s">
        <v>212</v>
      </c>
      <c r="B96" s="67" t="s">
        <v>211</v>
      </c>
      <c r="C96" s="67" t="s">
        <v>887</v>
      </c>
      <c r="D96" s="67" t="s">
        <v>888</v>
      </c>
      <c r="E96" s="67" t="s">
        <v>830</v>
      </c>
      <c r="F96" s="67" t="s">
        <v>823</v>
      </c>
      <c r="G96" s="67" t="s">
        <v>5</v>
      </c>
      <c r="H96" s="67" t="s">
        <v>683</v>
      </c>
      <c r="I96" s="67" t="s">
        <v>684</v>
      </c>
      <c r="J96" s="68">
        <v>35986</v>
      </c>
      <c r="K96" s="74">
        <v>41830</v>
      </c>
    </row>
    <row r="97" spans="1:11" x14ac:dyDescent="0.25">
      <c r="A97" s="73" t="s">
        <v>214</v>
      </c>
      <c r="B97" s="67" t="s">
        <v>213</v>
      </c>
      <c r="C97" s="67" t="s">
        <v>889</v>
      </c>
      <c r="D97" s="67" t="s">
        <v>890</v>
      </c>
      <c r="E97" s="67" t="s">
        <v>830</v>
      </c>
      <c r="F97" s="67" t="s">
        <v>823</v>
      </c>
      <c r="G97" s="67" t="s">
        <v>5</v>
      </c>
      <c r="H97" s="67" t="s">
        <v>683</v>
      </c>
      <c r="I97" s="67" t="s">
        <v>689</v>
      </c>
      <c r="J97" s="68">
        <v>36732</v>
      </c>
      <c r="K97" s="74">
        <v>42941</v>
      </c>
    </row>
    <row r="98" spans="1:11" x14ac:dyDescent="0.25">
      <c r="A98" s="73" t="s">
        <v>216</v>
      </c>
      <c r="B98" s="67" t="s">
        <v>215</v>
      </c>
      <c r="C98" s="67" t="s">
        <v>891</v>
      </c>
      <c r="D98" s="67" t="s">
        <v>892</v>
      </c>
      <c r="E98" s="67" t="s">
        <v>830</v>
      </c>
      <c r="F98" s="67" t="s">
        <v>823</v>
      </c>
      <c r="G98" s="67" t="s">
        <v>5</v>
      </c>
      <c r="H98" s="67" t="s">
        <v>683</v>
      </c>
      <c r="I98" s="67" t="s">
        <v>684</v>
      </c>
      <c r="J98" s="68">
        <v>33771</v>
      </c>
      <c r="K98" s="74">
        <v>42537</v>
      </c>
    </row>
    <row r="99" spans="1:11" x14ac:dyDescent="0.25">
      <c r="A99" s="73" t="s">
        <v>218</v>
      </c>
      <c r="B99" s="67" t="s">
        <v>893</v>
      </c>
      <c r="C99" s="67" t="s">
        <v>894</v>
      </c>
      <c r="D99" s="67" t="s">
        <v>895</v>
      </c>
      <c r="E99" s="67" t="s">
        <v>830</v>
      </c>
      <c r="F99" s="67" t="s">
        <v>823</v>
      </c>
      <c r="G99" s="67" t="s">
        <v>5</v>
      </c>
      <c r="H99" s="67" t="s">
        <v>683</v>
      </c>
      <c r="I99" s="67" t="s">
        <v>689</v>
      </c>
      <c r="J99" s="68">
        <v>29259</v>
      </c>
      <c r="K99" s="74">
        <v>40217</v>
      </c>
    </row>
    <row r="100" spans="1:11" x14ac:dyDescent="0.25">
      <c r="A100" s="73" t="s">
        <v>220</v>
      </c>
      <c r="B100" s="67" t="s">
        <v>219</v>
      </c>
      <c r="C100" s="67" t="s">
        <v>896</v>
      </c>
      <c r="D100" s="67" t="s">
        <v>815</v>
      </c>
      <c r="E100" s="67" t="s">
        <v>830</v>
      </c>
      <c r="F100" s="67" t="s">
        <v>823</v>
      </c>
      <c r="G100" s="67" t="s">
        <v>5</v>
      </c>
      <c r="H100" s="67" t="s">
        <v>683</v>
      </c>
      <c r="I100" s="67" t="s">
        <v>689</v>
      </c>
      <c r="J100" s="68">
        <v>37244</v>
      </c>
      <c r="K100" s="74">
        <v>42357</v>
      </c>
    </row>
    <row r="101" spans="1:11" x14ac:dyDescent="0.25">
      <c r="A101" s="73" t="s">
        <v>222</v>
      </c>
      <c r="B101" s="67" t="s">
        <v>221</v>
      </c>
      <c r="C101" s="67" t="s">
        <v>897</v>
      </c>
      <c r="D101" s="67" t="s">
        <v>898</v>
      </c>
      <c r="E101" s="67" t="s">
        <v>830</v>
      </c>
      <c r="F101" s="67" t="s">
        <v>823</v>
      </c>
      <c r="G101" s="67" t="s">
        <v>5</v>
      </c>
      <c r="H101" s="67" t="s">
        <v>683</v>
      </c>
      <c r="I101" s="67" t="s">
        <v>684</v>
      </c>
      <c r="J101" s="68">
        <v>36352</v>
      </c>
      <c r="K101" s="74">
        <v>41466</v>
      </c>
    </row>
    <row r="102" spans="1:11" x14ac:dyDescent="0.25">
      <c r="A102" s="73" t="s">
        <v>224</v>
      </c>
      <c r="B102" s="67" t="s">
        <v>223</v>
      </c>
      <c r="C102" s="67" t="s">
        <v>899</v>
      </c>
      <c r="D102" s="67" t="s">
        <v>900</v>
      </c>
      <c r="E102" s="67" t="s">
        <v>830</v>
      </c>
      <c r="F102" s="67" t="s">
        <v>823</v>
      </c>
      <c r="G102" s="67" t="s">
        <v>5</v>
      </c>
      <c r="H102" s="67" t="s">
        <v>683</v>
      </c>
      <c r="I102" s="67" t="s">
        <v>689</v>
      </c>
      <c r="J102" s="68">
        <v>31071</v>
      </c>
      <c r="K102" s="74">
        <v>40567</v>
      </c>
    </row>
    <row r="103" spans="1:11" x14ac:dyDescent="0.25">
      <c r="A103" s="73" t="s">
        <v>226</v>
      </c>
      <c r="B103" s="67" t="s">
        <v>225</v>
      </c>
      <c r="C103" s="67" t="s">
        <v>901</v>
      </c>
      <c r="D103" s="67" t="s">
        <v>817</v>
      </c>
      <c r="E103" s="67" t="s">
        <v>830</v>
      </c>
      <c r="F103" s="67" t="s">
        <v>823</v>
      </c>
      <c r="G103" s="67" t="s">
        <v>5</v>
      </c>
      <c r="H103" s="67" t="s">
        <v>683</v>
      </c>
      <c r="I103" s="67" t="s">
        <v>684</v>
      </c>
      <c r="J103" s="68">
        <v>36656</v>
      </c>
      <c r="K103" s="74">
        <v>42865</v>
      </c>
    </row>
    <row r="104" spans="1:11" x14ac:dyDescent="0.25">
      <c r="A104" s="73" t="s">
        <v>228</v>
      </c>
      <c r="B104" s="67" t="s">
        <v>227</v>
      </c>
      <c r="C104" s="67" t="s">
        <v>902</v>
      </c>
      <c r="D104" s="67" t="s">
        <v>903</v>
      </c>
      <c r="E104" s="67" t="s">
        <v>830</v>
      </c>
      <c r="F104" s="67" t="s">
        <v>823</v>
      </c>
      <c r="G104" s="67" t="s">
        <v>5</v>
      </c>
      <c r="H104" s="67" t="s">
        <v>683</v>
      </c>
      <c r="I104" s="67" t="s">
        <v>689</v>
      </c>
      <c r="J104" s="68">
        <v>36071</v>
      </c>
      <c r="K104" s="74">
        <v>41915</v>
      </c>
    </row>
    <row r="105" spans="1:11" x14ac:dyDescent="0.25">
      <c r="A105" s="73" t="s">
        <v>230</v>
      </c>
      <c r="B105" s="67" t="s">
        <v>229</v>
      </c>
      <c r="C105" s="67" t="s">
        <v>904</v>
      </c>
      <c r="D105" s="67" t="s">
        <v>905</v>
      </c>
      <c r="E105" s="67" t="s">
        <v>862</v>
      </c>
      <c r="F105" s="67" t="s">
        <v>823</v>
      </c>
      <c r="G105" s="67" t="s">
        <v>5</v>
      </c>
      <c r="H105" s="67" t="s">
        <v>683</v>
      </c>
      <c r="I105" s="67" t="s">
        <v>684</v>
      </c>
      <c r="J105" s="68">
        <v>36968</v>
      </c>
      <c r="K105" s="74">
        <v>42081</v>
      </c>
    </row>
    <row r="106" spans="1:11" x14ac:dyDescent="0.25">
      <c r="A106" s="73" t="s">
        <v>232</v>
      </c>
      <c r="B106" s="67" t="s">
        <v>231</v>
      </c>
      <c r="C106" s="67" t="s">
        <v>906</v>
      </c>
      <c r="D106" s="67" t="s">
        <v>907</v>
      </c>
      <c r="E106" s="67" t="s">
        <v>862</v>
      </c>
      <c r="F106" s="67" t="s">
        <v>823</v>
      </c>
      <c r="G106" s="67" t="s">
        <v>5</v>
      </c>
      <c r="H106" s="67" t="s">
        <v>683</v>
      </c>
      <c r="I106" s="67" t="s">
        <v>689</v>
      </c>
      <c r="J106" s="68">
        <v>33913</v>
      </c>
      <c r="K106" s="74">
        <v>42679</v>
      </c>
    </row>
    <row r="107" spans="1:11" x14ac:dyDescent="0.25">
      <c r="A107" s="73" t="s">
        <v>234</v>
      </c>
      <c r="B107" s="67" t="s">
        <v>233</v>
      </c>
      <c r="C107" s="67" t="s">
        <v>908</v>
      </c>
      <c r="D107" s="67" t="s">
        <v>909</v>
      </c>
      <c r="E107" s="67" t="s">
        <v>822</v>
      </c>
      <c r="F107" s="67" t="s">
        <v>823</v>
      </c>
      <c r="G107" s="67" t="s">
        <v>5</v>
      </c>
      <c r="H107" s="67" t="s">
        <v>683</v>
      </c>
      <c r="I107" s="67" t="s">
        <v>689</v>
      </c>
      <c r="J107" s="68">
        <v>36495</v>
      </c>
      <c r="K107" s="74">
        <v>41609</v>
      </c>
    </row>
    <row r="108" spans="1:11" x14ac:dyDescent="0.25">
      <c r="A108" s="73" t="s">
        <v>236</v>
      </c>
      <c r="B108" s="67" t="s">
        <v>235</v>
      </c>
      <c r="C108" s="67" t="s">
        <v>910</v>
      </c>
      <c r="D108" s="67" t="s">
        <v>911</v>
      </c>
      <c r="E108" s="67" t="s">
        <v>912</v>
      </c>
      <c r="F108" s="67" t="s">
        <v>238</v>
      </c>
      <c r="G108" s="67" t="s">
        <v>239</v>
      </c>
      <c r="H108" s="67" t="s">
        <v>683</v>
      </c>
      <c r="I108" s="67" t="s">
        <v>684</v>
      </c>
      <c r="J108" s="68">
        <v>36570</v>
      </c>
      <c r="K108" s="74">
        <v>40953</v>
      </c>
    </row>
    <row r="109" spans="1:11" x14ac:dyDescent="0.25">
      <c r="A109" s="73" t="s">
        <v>241</v>
      </c>
      <c r="B109" s="67" t="s">
        <v>240</v>
      </c>
      <c r="C109" s="67" t="s">
        <v>913</v>
      </c>
      <c r="D109" s="67" t="s">
        <v>914</v>
      </c>
      <c r="E109" s="67" t="s">
        <v>912</v>
      </c>
      <c r="F109" s="67" t="s">
        <v>238</v>
      </c>
      <c r="G109" s="67" t="s">
        <v>239</v>
      </c>
      <c r="H109" s="67" t="s">
        <v>683</v>
      </c>
      <c r="I109" s="67" t="s">
        <v>684</v>
      </c>
      <c r="J109" s="68">
        <v>36791</v>
      </c>
      <c r="K109" s="74">
        <v>43000</v>
      </c>
    </row>
    <row r="110" spans="1:11" x14ac:dyDescent="0.25">
      <c r="A110" s="73" t="s">
        <v>243</v>
      </c>
      <c r="B110" s="67" t="s">
        <v>242</v>
      </c>
      <c r="C110" s="67" t="s">
        <v>915</v>
      </c>
      <c r="D110" s="67" t="s">
        <v>817</v>
      </c>
      <c r="E110" s="67" t="s">
        <v>912</v>
      </c>
      <c r="F110" s="67" t="s">
        <v>238</v>
      </c>
      <c r="G110" s="67" t="s">
        <v>239</v>
      </c>
      <c r="H110" s="67" t="s">
        <v>683</v>
      </c>
      <c r="I110" s="67" t="s">
        <v>684</v>
      </c>
      <c r="J110" s="68">
        <v>35964</v>
      </c>
      <c r="K110" s="74">
        <v>41808</v>
      </c>
    </row>
    <row r="111" spans="1:11" x14ac:dyDescent="0.25">
      <c r="A111" s="73" t="s">
        <v>245</v>
      </c>
      <c r="B111" s="67" t="s">
        <v>244</v>
      </c>
      <c r="C111" s="67" t="s">
        <v>916</v>
      </c>
      <c r="D111" s="67" t="s">
        <v>917</v>
      </c>
      <c r="E111" s="67" t="s">
        <v>912</v>
      </c>
      <c r="F111" s="67" t="s">
        <v>238</v>
      </c>
      <c r="G111" s="67" t="s">
        <v>239</v>
      </c>
      <c r="H111" s="67" t="s">
        <v>683</v>
      </c>
      <c r="I111" s="67" t="s">
        <v>684</v>
      </c>
      <c r="J111" s="68">
        <v>31358</v>
      </c>
      <c r="K111" s="74">
        <v>40854</v>
      </c>
    </row>
    <row r="112" spans="1:11" x14ac:dyDescent="0.25">
      <c r="A112" s="73" t="s">
        <v>247</v>
      </c>
      <c r="B112" s="67" t="s">
        <v>246</v>
      </c>
      <c r="C112" s="67" t="s">
        <v>918</v>
      </c>
      <c r="D112" s="67" t="s">
        <v>919</v>
      </c>
      <c r="E112" s="67" t="s">
        <v>912</v>
      </c>
      <c r="F112" s="67" t="s">
        <v>238</v>
      </c>
      <c r="G112" s="67" t="s">
        <v>239</v>
      </c>
      <c r="H112" s="67" t="s">
        <v>683</v>
      </c>
      <c r="I112" s="67" t="s">
        <v>684</v>
      </c>
      <c r="J112" s="68">
        <v>36575</v>
      </c>
      <c r="K112" s="74">
        <v>42785</v>
      </c>
    </row>
    <row r="113" spans="1:11" x14ac:dyDescent="0.25">
      <c r="A113" s="73" t="s">
        <v>249</v>
      </c>
      <c r="B113" s="67" t="s">
        <v>248</v>
      </c>
      <c r="C113" s="67" t="s">
        <v>920</v>
      </c>
      <c r="D113" s="67" t="s">
        <v>921</v>
      </c>
      <c r="E113" s="67" t="s">
        <v>912</v>
      </c>
      <c r="F113" s="67" t="s">
        <v>238</v>
      </c>
      <c r="G113" s="67" t="s">
        <v>239</v>
      </c>
      <c r="H113" s="67" t="s">
        <v>683</v>
      </c>
      <c r="I113" s="67" t="s">
        <v>689</v>
      </c>
      <c r="J113" s="68">
        <v>37131</v>
      </c>
      <c r="K113" s="74">
        <v>42244</v>
      </c>
    </row>
    <row r="114" spans="1:11" x14ac:dyDescent="0.25">
      <c r="A114" s="73" t="s">
        <v>251</v>
      </c>
      <c r="B114" s="67" t="s">
        <v>250</v>
      </c>
      <c r="C114" s="67" t="s">
        <v>922</v>
      </c>
      <c r="D114" s="67" t="s">
        <v>693</v>
      </c>
      <c r="E114" s="67" t="s">
        <v>912</v>
      </c>
      <c r="F114" s="67" t="s">
        <v>238</v>
      </c>
      <c r="G114" s="67" t="s">
        <v>239</v>
      </c>
      <c r="H114" s="67" t="s">
        <v>683</v>
      </c>
      <c r="I114" s="67" t="s">
        <v>689</v>
      </c>
      <c r="J114" s="68">
        <v>36454</v>
      </c>
      <c r="K114" s="74">
        <v>41568</v>
      </c>
    </row>
    <row r="115" spans="1:11" x14ac:dyDescent="0.25">
      <c r="A115" s="73" t="s">
        <v>253</v>
      </c>
      <c r="B115" s="67" t="s">
        <v>252</v>
      </c>
      <c r="C115" s="67" t="s">
        <v>923</v>
      </c>
      <c r="D115" s="67" t="s">
        <v>924</v>
      </c>
      <c r="E115" s="67" t="s">
        <v>912</v>
      </c>
      <c r="F115" s="67" t="s">
        <v>238</v>
      </c>
      <c r="G115" s="67" t="s">
        <v>239</v>
      </c>
      <c r="H115" s="67" t="s">
        <v>683</v>
      </c>
      <c r="I115" s="67" t="s">
        <v>689</v>
      </c>
      <c r="J115" s="68">
        <v>36622</v>
      </c>
      <c r="K115" s="74">
        <v>42831</v>
      </c>
    </row>
    <row r="116" spans="1:11" x14ac:dyDescent="0.25">
      <c r="A116" s="73" t="s">
        <v>255</v>
      </c>
      <c r="B116" s="67" t="s">
        <v>925</v>
      </c>
      <c r="C116" s="67" t="s">
        <v>926</v>
      </c>
      <c r="D116" s="67" t="s">
        <v>927</v>
      </c>
      <c r="E116" s="67" t="s">
        <v>912</v>
      </c>
      <c r="F116" s="67" t="s">
        <v>238</v>
      </c>
      <c r="G116" s="67" t="s">
        <v>239</v>
      </c>
      <c r="H116" s="67" t="s">
        <v>683</v>
      </c>
      <c r="I116" s="67" t="s">
        <v>684</v>
      </c>
      <c r="J116" s="68">
        <v>36539</v>
      </c>
      <c r="K116" s="74">
        <v>40922</v>
      </c>
    </row>
    <row r="117" spans="1:11" x14ac:dyDescent="0.25">
      <c r="A117" s="73" t="s">
        <v>257</v>
      </c>
      <c r="B117" s="67" t="s">
        <v>256</v>
      </c>
      <c r="C117" s="67" t="s">
        <v>928</v>
      </c>
      <c r="D117" s="67" t="s">
        <v>929</v>
      </c>
      <c r="E117" s="67" t="s">
        <v>912</v>
      </c>
      <c r="F117" s="67" t="s">
        <v>238</v>
      </c>
      <c r="G117" s="67" t="s">
        <v>239</v>
      </c>
      <c r="H117" s="67" t="s">
        <v>683</v>
      </c>
      <c r="I117" s="67" t="s">
        <v>684</v>
      </c>
      <c r="J117" s="68">
        <v>35939</v>
      </c>
      <c r="K117" s="74">
        <v>41783</v>
      </c>
    </row>
    <row r="118" spans="1:11" x14ac:dyDescent="0.25">
      <c r="A118" s="73" t="s">
        <v>259</v>
      </c>
      <c r="B118" s="67" t="s">
        <v>258</v>
      </c>
      <c r="C118" s="67" t="s">
        <v>930</v>
      </c>
      <c r="D118" s="67" t="s">
        <v>931</v>
      </c>
      <c r="E118" s="67" t="s">
        <v>912</v>
      </c>
      <c r="F118" s="67" t="s">
        <v>238</v>
      </c>
      <c r="G118" s="67" t="s">
        <v>239</v>
      </c>
      <c r="H118" s="67" t="s">
        <v>683</v>
      </c>
      <c r="I118" s="67" t="s">
        <v>684</v>
      </c>
      <c r="J118" s="68">
        <v>31109</v>
      </c>
      <c r="K118" s="74">
        <v>40605</v>
      </c>
    </row>
    <row r="119" spans="1:11" x14ac:dyDescent="0.25">
      <c r="A119" s="73" t="s">
        <v>261</v>
      </c>
      <c r="B119" s="67" t="s">
        <v>260</v>
      </c>
      <c r="C119" s="67" t="s">
        <v>932</v>
      </c>
      <c r="D119" s="67" t="s">
        <v>933</v>
      </c>
      <c r="E119" s="67" t="s">
        <v>912</v>
      </c>
      <c r="F119" s="67" t="s">
        <v>238</v>
      </c>
      <c r="G119" s="67" t="s">
        <v>239</v>
      </c>
      <c r="H119" s="67" t="s">
        <v>683</v>
      </c>
      <c r="I119" s="67" t="s">
        <v>684</v>
      </c>
      <c r="J119" s="68">
        <v>33631</v>
      </c>
      <c r="K119" s="74">
        <v>42397</v>
      </c>
    </row>
    <row r="120" spans="1:11" x14ac:dyDescent="0.25">
      <c r="A120" s="73" t="s">
        <v>263</v>
      </c>
      <c r="B120" s="67" t="s">
        <v>262</v>
      </c>
      <c r="C120" s="67" t="s">
        <v>934</v>
      </c>
      <c r="D120" s="67" t="s">
        <v>935</v>
      </c>
      <c r="E120" s="67" t="s">
        <v>912</v>
      </c>
      <c r="F120" s="67" t="s">
        <v>238</v>
      </c>
      <c r="G120" s="67" t="s">
        <v>239</v>
      </c>
      <c r="H120" s="67" t="s">
        <v>683</v>
      </c>
      <c r="I120" s="67" t="s">
        <v>684</v>
      </c>
      <c r="J120" s="68">
        <v>36320</v>
      </c>
      <c r="K120" s="74">
        <v>41434</v>
      </c>
    </row>
    <row r="121" spans="1:11" x14ac:dyDescent="0.25">
      <c r="A121" s="73" t="s">
        <v>265</v>
      </c>
      <c r="B121" s="67" t="s">
        <v>264</v>
      </c>
      <c r="C121" s="67" t="s">
        <v>936</v>
      </c>
      <c r="D121" s="67" t="s">
        <v>937</v>
      </c>
      <c r="E121" s="67" t="s">
        <v>938</v>
      </c>
      <c r="F121" s="67" t="s">
        <v>238</v>
      </c>
      <c r="G121" s="67" t="s">
        <v>239</v>
      </c>
      <c r="H121" s="67" t="s">
        <v>683</v>
      </c>
      <c r="I121" s="67" t="s">
        <v>684</v>
      </c>
      <c r="J121" s="68">
        <v>36600</v>
      </c>
      <c r="K121" s="74">
        <v>42809</v>
      </c>
    </row>
    <row r="122" spans="1:11" x14ac:dyDescent="0.25">
      <c r="A122" s="73" t="s">
        <v>268</v>
      </c>
      <c r="B122" s="67" t="s">
        <v>267</v>
      </c>
      <c r="C122" s="67" t="s">
        <v>939</v>
      </c>
      <c r="D122" s="67" t="s">
        <v>940</v>
      </c>
      <c r="E122" s="67" t="s">
        <v>938</v>
      </c>
      <c r="F122" s="67" t="s">
        <v>238</v>
      </c>
      <c r="G122" s="67" t="s">
        <v>239</v>
      </c>
      <c r="H122" s="67" t="s">
        <v>683</v>
      </c>
      <c r="I122" s="67" t="s">
        <v>684</v>
      </c>
      <c r="J122" s="68">
        <v>37236</v>
      </c>
      <c r="K122" s="74">
        <v>42349</v>
      </c>
    </row>
    <row r="123" spans="1:11" x14ac:dyDescent="0.25">
      <c r="A123" s="73" t="s">
        <v>270</v>
      </c>
      <c r="B123" s="67" t="s">
        <v>269</v>
      </c>
      <c r="C123" s="67" t="s">
        <v>941</v>
      </c>
      <c r="D123" s="67" t="s">
        <v>942</v>
      </c>
      <c r="E123" s="67" t="s">
        <v>938</v>
      </c>
      <c r="F123" s="67" t="s">
        <v>238</v>
      </c>
      <c r="G123" s="67" t="s">
        <v>239</v>
      </c>
      <c r="H123" s="67" t="s">
        <v>683</v>
      </c>
      <c r="I123" s="67" t="s">
        <v>689</v>
      </c>
      <c r="J123" s="68">
        <v>33640</v>
      </c>
      <c r="K123" s="74">
        <v>42406</v>
      </c>
    </row>
    <row r="124" spans="1:11" x14ac:dyDescent="0.25">
      <c r="A124" s="73" t="s">
        <v>272</v>
      </c>
      <c r="B124" s="67" t="s">
        <v>271</v>
      </c>
      <c r="C124" s="67" t="s">
        <v>943</v>
      </c>
      <c r="D124" s="67" t="s">
        <v>944</v>
      </c>
      <c r="E124" s="67" t="s">
        <v>938</v>
      </c>
      <c r="F124" s="67" t="s">
        <v>238</v>
      </c>
      <c r="G124" s="67" t="s">
        <v>239</v>
      </c>
      <c r="H124" s="67" t="s">
        <v>683</v>
      </c>
      <c r="I124" s="67" t="s">
        <v>684</v>
      </c>
      <c r="J124" s="68">
        <v>35990</v>
      </c>
      <c r="K124" s="74">
        <v>41834</v>
      </c>
    </row>
    <row r="125" spans="1:11" x14ac:dyDescent="0.25">
      <c r="A125" s="73" t="s">
        <v>274</v>
      </c>
      <c r="B125" s="67" t="s">
        <v>273</v>
      </c>
      <c r="C125" s="67" t="s">
        <v>945</v>
      </c>
      <c r="D125" s="67" t="s">
        <v>946</v>
      </c>
      <c r="E125" s="67" t="s">
        <v>938</v>
      </c>
      <c r="F125" s="67" t="s">
        <v>238</v>
      </c>
      <c r="G125" s="67" t="s">
        <v>239</v>
      </c>
      <c r="H125" s="67" t="s">
        <v>683</v>
      </c>
      <c r="I125" s="67" t="s">
        <v>689</v>
      </c>
      <c r="J125" s="68">
        <v>36172</v>
      </c>
      <c r="K125" s="74">
        <v>41286</v>
      </c>
    </row>
    <row r="126" spans="1:11" x14ac:dyDescent="0.25">
      <c r="A126" s="73" t="s">
        <v>276</v>
      </c>
      <c r="B126" s="67" t="s">
        <v>275</v>
      </c>
      <c r="C126" s="67" t="s">
        <v>947</v>
      </c>
      <c r="D126" s="67" t="s">
        <v>948</v>
      </c>
      <c r="E126" s="67" t="s">
        <v>938</v>
      </c>
      <c r="F126" s="67" t="s">
        <v>238</v>
      </c>
      <c r="G126" s="67" t="s">
        <v>239</v>
      </c>
      <c r="H126" s="67" t="s">
        <v>683</v>
      </c>
      <c r="I126" s="67" t="s">
        <v>684</v>
      </c>
      <c r="J126" s="68">
        <v>36840</v>
      </c>
      <c r="K126" s="74">
        <v>41223</v>
      </c>
    </row>
    <row r="127" spans="1:11" x14ac:dyDescent="0.25">
      <c r="A127" s="73" t="s">
        <v>278</v>
      </c>
      <c r="B127" s="67" t="s">
        <v>277</v>
      </c>
      <c r="C127" s="67" t="s">
        <v>949</v>
      </c>
      <c r="D127" s="67" t="s">
        <v>950</v>
      </c>
      <c r="E127" s="67" t="s">
        <v>938</v>
      </c>
      <c r="F127" s="67" t="s">
        <v>238</v>
      </c>
      <c r="G127" s="67" t="s">
        <v>239</v>
      </c>
      <c r="H127" s="67" t="s">
        <v>683</v>
      </c>
      <c r="I127" s="67" t="s">
        <v>689</v>
      </c>
      <c r="J127" s="68">
        <v>36763</v>
      </c>
      <c r="K127" s="74">
        <v>42972</v>
      </c>
    </row>
    <row r="128" spans="1:11" x14ac:dyDescent="0.25">
      <c r="A128" s="73" t="s">
        <v>280</v>
      </c>
      <c r="B128" s="67" t="s">
        <v>951</v>
      </c>
      <c r="C128" s="67" t="s">
        <v>952</v>
      </c>
      <c r="D128" s="67" t="s">
        <v>953</v>
      </c>
      <c r="E128" s="67" t="s">
        <v>938</v>
      </c>
      <c r="F128" s="67" t="s">
        <v>238</v>
      </c>
      <c r="G128" s="67" t="s">
        <v>239</v>
      </c>
      <c r="H128" s="67" t="s">
        <v>683</v>
      </c>
      <c r="I128" s="67" t="s">
        <v>689</v>
      </c>
      <c r="J128" s="68">
        <v>31247</v>
      </c>
      <c r="K128" s="74">
        <v>40743</v>
      </c>
    </row>
    <row r="129" spans="1:11" x14ac:dyDescent="0.25">
      <c r="A129" s="73" t="s">
        <v>282</v>
      </c>
      <c r="B129" s="67" t="s">
        <v>281</v>
      </c>
      <c r="C129" s="67" t="s">
        <v>954</v>
      </c>
      <c r="D129" s="67" t="s">
        <v>955</v>
      </c>
      <c r="E129" s="67" t="s">
        <v>938</v>
      </c>
      <c r="F129" s="67" t="s">
        <v>238</v>
      </c>
      <c r="G129" s="67" t="s">
        <v>239</v>
      </c>
      <c r="H129" s="67" t="s">
        <v>683</v>
      </c>
      <c r="I129" s="67" t="s">
        <v>689</v>
      </c>
      <c r="J129" s="68">
        <v>33707</v>
      </c>
      <c r="K129" s="74">
        <v>42473</v>
      </c>
    </row>
    <row r="130" spans="1:11" x14ac:dyDescent="0.25">
      <c r="A130" s="73" t="s">
        <v>284</v>
      </c>
      <c r="B130" s="67" t="s">
        <v>283</v>
      </c>
      <c r="C130" s="67" t="s">
        <v>956</v>
      </c>
      <c r="D130" s="67" t="s">
        <v>957</v>
      </c>
      <c r="E130" s="67" t="s">
        <v>958</v>
      </c>
      <c r="F130" s="67" t="s">
        <v>238</v>
      </c>
      <c r="G130" s="67" t="s">
        <v>239</v>
      </c>
      <c r="H130" s="67" t="s">
        <v>683</v>
      </c>
      <c r="I130" s="67" t="s">
        <v>684</v>
      </c>
      <c r="J130" s="68">
        <v>36560</v>
      </c>
      <c r="K130" s="74">
        <v>42770</v>
      </c>
    </row>
    <row r="131" spans="1:11" x14ac:dyDescent="0.25">
      <c r="A131" s="73" t="s">
        <v>287</v>
      </c>
      <c r="B131" s="67" t="s">
        <v>286</v>
      </c>
      <c r="C131" s="67" t="s">
        <v>959</v>
      </c>
      <c r="D131" s="67" t="s">
        <v>960</v>
      </c>
      <c r="E131" s="67" t="s">
        <v>958</v>
      </c>
      <c r="F131" s="67" t="s">
        <v>238</v>
      </c>
      <c r="G131" s="67" t="s">
        <v>239</v>
      </c>
      <c r="H131" s="67" t="s">
        <v>683</v>
      </c>
      <c r="I131" s="67" t="s">
        <v>689</v>
      </c>
      <c r="J131" s="68">
        <v>37032</v>
      </c>
      <c r="K131" s="74">
        <v>42145</v>
      </c>
    </row>
    <row r="132" spans="1:11" x14ac:dyDescent="0.25">
      <c r="A132" s="73" t="s">
        <v>289</v>
      </c>
      <c r="B132" s="67" t="s">
        <v>288</v>
      </c>
      <c r="C132" s="67" t="s">
        <v>961</v>
      </c>
      <c r="D132" s="67" t="s">
        <v>962</v>
      </c>
      <c r="E132" s="67" t="s">
        <v>958</v>
      </c>
      <c r="F132" s="67" t="s">
        <v>238</v>
      </c>
      <c r="G132" s="67" t="s">
        <v>239</v>
      </c>
      <c r="H132" s="67" t="s">
        <v>683</v>
      </c>
      <c r="I132" s="67" t="s">
        <v>684</v>
      </c>
      <c r="J132" s="68">
        <v>36847</v>
      </c>
      <c r="K132" s="74">
        <v>41230</v>
      </c>
    </row>
    <row r="133" spans="1:11" x14ac:dyDescent="0.25">
      <c r="A133" s="73" t="s">
        <v>291</v>
      </c>
      <c r="B133" s="67" t="s">
        <v>290</v>
      </c>
      <c r="C133" s="67" t="s">
        <v>963</v>
      </c>
      <c r="D133" s="67" t="s">
        <v>964</v>
      </c>
      <c r="E133" s="67" t="s">
        <v>958</v>
      </c>
      <c r="F133" s="67" t="s">
        <v>238</v>
      </c>
      <c r="G133" s="67" t="s">
        <v>239</v>
      </c>
      <c r="H133" s="67" t="s">
        <v>683</v>
      </c>
      <c r="I133" s="67" t="s">
        <v>684</v>
      </c>
      <c r="J133" s="68">
        <v>36134</v>
      </c>
      <c r="K133" s="74">
        <v>41978</v>
      </c>
    </row>
    <row r="134" spans="1:11" x14ac:dyDescent="0.25">
      <c r="A134" s="73" t="s">
        <v>293</v>
      </c>
      <c r="B134" s="67" t="s">
        <v>292</v>
      </c>
      <c r="C134" s="67" t="s">
        <v>965</v>
      </c>
      <c r="D134" s="67" t="s">
        <v>966</v>
      </c>
      <c r="E134" s="67" t="s">
        <v>958</v>
      </c>
      <c r="F134" s="67" t="s">
        <v>238</v>
      </c>
      <c r="G134" s="67" t="s">
        <v>239</v>
      </c>
      <c r="H134" s="67" t="s">
        <v>683</v>
      </c>
      <c r="I134" s="67" t="s">
        <v>684</v>
      </c>
      <c r="J134" s="68">
        <v>36726</v>
      </c>
      <c r="K134" s="74">
        <v>42935</v>
      </c>
    </row>
    <row r="135" spans="1:11" x14ac:dyDescent="0.25">
      <c r="A135" s="73" t="s">
        <v>295</v>
      </c>
      <c r="B135" s="67" t="s">
        <v>294</v>
      </c>
      <c r="C135" s="67" t="s">
        <v>967</v>
      </c>
      <c r="D135" s="67" t="s">
        <v>828</v>
      </c>
      <c r="E135" s="67" t="s">
        <v>958</v>
      </c>
      <c r="F135" s="67" t="s">
        <v>238</v>
      </c>
      <c r="G135" s="67" t="s">
        <v>239</v>
      </c>
      <c r="H135" s="67" t="s">
        <v>683</v>
      </c>
      <c r="I135" s="67" t="s">
        <v>684</v>
      </c>
      <c r="J135" s="68">
        <v>31088</v>
      </c>
      <c r="K135" s="74">
        <v>40584</v>
      </c>
    </row>
    <row r="136" spans="1:11" x14ac:dyDescent="0.25">
      <c r="A136" s="73" t="s">
        <v>297</v>
      </c>
      <c r="B136" s="67" t="s">
        <v>296</v>
      </c>
      <c r="C136" s="67" t="s">
        <v>968</v>
      </c>
      <c r="D136" s="67" t="s">
        <v>969</v>
      </c>
      <c r="E136" s="67" t="s">
        <v>958</v>
      </c>
      <c r="F136" s="67" t="s">
        <v>238</v>
      </c>
      <c r="G136" s="67" t="s">
        <v>239</v>
      </c>
      <c r="H136" s="67" t="s">
        <v>683</v>
      </c>
      <c r="I136" s="67" t="s">
        <v>684</v>
      </c>
      <c r="J136" s="68">
        <v>29499</v>
      </c>
      <c r="K136" s="74">
        <v>40456</v>
      </c>
    </row>
    <row r="137" spans="1:11" x14ac:dyDescent="0.25">
      <c r="A137" s="73" t="s">
        <v>299</v>
      </c>
      <c r="B137" s="67" t="s">
        <v>298</v>
      </c>
      <c r="C137" s="67" t="s">
        <v>970</v>
      </c>
      <c r="D137" s="67" t="s">
        <v>971</v>
      </c>
      <c r="E137" s="67" t="s">
        <v>972</v>
      </c>
      <c r="F137" s="67" t="s">
        <v>238</v>
      </c>
      <c r="G137" s="67" t="s">
        <v>239</v>
      </c>
      <c r="H137" s="67" t="s">
        <v>683</v>
      </c>
      <c r="I137" s="67" t="s">
        <v>689</v>
      </c>
      <c r="J137" s="68">
        <v>35986</v>
      </c>
      <c r="K137" s="74">
        <v>41830</v>
      </c>
    </row>
    <row r="138" spans="1:11" x14ac:dyDescent="0.25">
      <c r="A138" s="73" t="s">
        <v>302</v>
      </c>
      <c r="B138" s="67" t="s">
        <v>301</v>
      </c>
      <c r="C138" s="67" t="s">
        <v>973</v>
      </c>
      <c r="D138" s="67" t="s">
        <v>974</v>
      </c>
      <c r="E138" s="67" t="s">
        <v>972</v>
      </c>
      <c r="F138" s="67" t="s">
        <v>238</v>
      </c>
      <c r="G138" s="67" t="s">
        <v>239</v>
      </c>
      <c r="H138" s="67" t="s">
        <v>683</v>
      </c>
      <c r="I138" s="67" t="s">
        <v>689</v>
      </c>
      <c r="J138" s="68">
        <v>29499</v>
      </c>
      <c r="K138" s="74">
        <v>40456</v>
      </c>
    </row>
    <row r="139" spans="1:11" x14ac:dyDescent="0.25">
      <c r="A139" s="73" t="s">
        <v>304</v>
      </c>
      <c r="B139" s="67" t="s">
        <v>303</v>
      </c>
      <c r="C139" s="67" t="s">
        <v>975</v>
      </c>
      <c r="D139" s="67" t="s">
        <v>976</v>
      </c>
      <c r="E139" s="67" t="s">
        <v>972</v>
      </c>
      <c r="F139" s="67" t="s">
        <v>238</v>
      </c>
      <c r="G139" s="67" t="s">
        <v>239</v>
      </c>
      <c r="H139" s="67" t="s">
        <v>683</v>
      </c>
      <c r="I139" s="67" t="s">
        <v>689</v>
      </c>
      <c r="J139" s="68">
        <v>36147</v>
      </c>
      <c r="K139" s="74">
        <v>41991</v>
      </c>
    </row>
    <row r="140" spans="1:11" x14ac:dyDescent="0.25">
      <c r="A140" s="73" t="s">
        <v>306</v>
      </c>
      <c r="B140" s="67" t="s">
        <v>305</v>
      </c>
      <c r="C140" s="67" t="s">
        <v>977</v>
      </c>
      <c r="D140" s="67" t="s">
        <v>978</v>
      </c>
      <c r="E140" s="67" t="s">
        <v>972</v>
      </c>
      <c r="F140" s="67" t="s">
        <v>238</v>
      </c>
      <c r="G140" s="67" t="s">
        <v>239</v>
      </c>
      <c r="H140" s="67" t="s">
        <v>683</v>
      </c>
      <c r="I140" s="67" t="s">
        <v>689</v>
      </c>
      <c r="J140" s="68">
        <v>33622</v>
      </c>
      <c r="K140" s="74">
        <v>42388</v>
      </c>
    </row>
    <row r="141" spans="1:11" x14ac:dyDescent="0.25">
      <c r="A141" s="73" t="s">
        <v>308</v>
      </c>
      <c r="B141" s="67" t="s">
        <v>307</v>
      </c>
      <c r="C141" s="67" t="s">
        <v>979</v>
      </c>
      <c r="D141" s="67" t="s">
        <v>980</v>
      </c>
      <c r="E141" s="67" t="s">
        <v>972</v>
      </c>
      <c r="F141" s="67" t="s">
        <v>238</v>
      </c>
      <c r="G141" s="67" t="s">
        <v>239</v>
      </c>
      <c r="H141" s="67" t="s">
        <v>683</v>
      </c>
      <c r="I141" s="67" t="s">
        <v>684</v>
      </c>
      <c r="J141" s="68">
        <v>35986</v>
      </c>
      <c r="K141" s="74">
        <v>41830</v>
      </c>
    </row>
    <row r="142" spans="1:11" x14ac:dyDescent="0.25">
      <c r="A142" s="73" t="s">
        <v>310</v>
      </c>
      <c r="B142" s="67" t="s">
        <v>309</v>
      </c>
      <c r="C142" s="67" t="s">
        <v>981</v>
      </c>
      <c r="D142" s="67" t="s">
        <v>982</v>
      </c>
      <c r="E142" s="67" t="s">
        <v>972</v>
      </c>
      <c r="F142" s="67" t="s">
        <v>238</v>
      </c>
      <c r="G142" s="67" t="s">
        <v>239</v>
      </c>
      <c r="H142" s="67" t="s">
        <v>683</v>
      </c>
      <c r="I142" s="67" t="s">
        <v>689</v>
      </c>
      <c r="J142" s="68">
        <v>35986</v>
      </c>
      <c r="K142" s="74">
        <v>41830</v>
      </c>
    </row>
    <row r="143" spans="1:11" x14ac:dyDescent="0.25">
      <c r="A143" s="73" t="s">
        <v>312</v>
      </c>
      <c r="B143" s="67" t="s">
        <v>311</v>
      </c>
      <c r="C143" s="67" t="s">
        <v>983</v>
      </c>
      <c r="D143" s="67" t="s">
        <v>957</v>
      </c>
      <c r="E143" s="67" t="s">
        <v>972</v>
      </c>
      <c r="F143" s="67" t="s">
        <v>238</v>
      </c>
      <c r="G143" s="67" t="s">
        <v>239</v>
      </c>
      <c r="H143" s="67" t="s">
        <v>683</v>
      </c>
      <c r="I143" s="67" t="s">
        <v>684</v>
      </c>
      <c r="J143" s="68">
        <v>35986</v>
      </c>
      <c r="K143" s="74">
        <v>41830</v>
      </c>
    </row>
    <row r="144" spans="1:11" x14ac:dyDescent="0.25">
      <c r="A144" s="73" t="s">
        <v>314</v>
      </c>
      <c r="B144" s="67" t="s">
        <v>313</v>
      </c>
      <c r="C144" s="67" t="s">
        <v>984</v>
      </c>
      <c r="D144" s="67" t="s">
        <v>725</v>
      </c>
      <c r="E144" s="67" t="s">
        <v>972</v>
      </c>
      <c r="F144" s="67" t="s">
        <v>238</v>
      </c>
      <c r="G144" s="67" t="s">
        <v>239</v>
      </c>
      <c r="H144" s="67" t="s">
        <v>683</v>
      </c>
      <c r="I144" s="67" t="s">
        <v>684</v>
      </c>
      <c r="J144" s="68">
        <v>35986</v>
      </c>
      <c r="K144" s="74">
        <v>41830</v>
      </c>
    </row>
    <row r="145" spans="1:11" x14ac:dyDescent="0.25">
      <c r="A145" s="73" t="s">
        <v>316</v>
      </c>
      <c r="B145" s="67" t="s">
        <v>315</v>
      </c>
      <c r="C145" s="67" t="s">
        <v>985</v>
      </c>
      <c r="D145" s="67" t="s">
        <v>986</v>
      </c>
      <c r="E145" s="67" t="s">
        <v>972</v>
      </c>
      <c r="F145" s="67" t="s">
        <v>238</v>
      </c>
      <c r="G145" s="67" t="s">
        <v>239</v>
      </c>
      <c r="H145" s="67" t="s">
        <v>683</v>
      </c>
      <c r="J145" s="68">
        <v>35986</v>
      </c>
      <c r="K145" s="74">
        <v>41830</v>
      </c>
    </row>
    <row r="146" spans="1:11" x14ac:dyDescent="0.25">
      <c r="A146" s="73" t="s">
        <v>318</v>
      </c>
      <c r="B146" s="67" t="s">
        <v>317</v>
      </c>
      <c r="C146" s="67" t="s">
        <v>987</v>
      </c>
      <c r="D146" s="67" t="s">
        <v>988</v>
      </c>
      <c r="E146" s="67" t="s">
        <v>972</v>
      </c>
      <c r="F146" s="67" t="s">
        <v>238</v>
      </c>
      <c r="G146" s="67" t="s">
        <v>239</v>
      </c>
      <c r="H146" s="67" t="s">
        <v>683</v>
      </c>
      <c r="J146" s="68">
        <v>29256</v>
      </c>
      <c r="K146" s="74">
        <v>40214</v>
      </c>
    </row>
    <row r="147" spans="1:11" x14ac:dyDescent="0.25">
      <c r="A147" s="73" t="s">
        <v>320</v>
      </c>
      <c r="B147" s="67" t="s">
        <v>319</v>
      </c>
      <c r="C147" s="67" t="s">
        <v>989</v>
      </c>
      <c r="D147" s="67" t="s">
        <v>990</v>
      </c>
      <c r="E147" s="67" t="s">
        <v>972</v>
      </c>
      <c r="F147" s="67" t="s">
        <v>238</v>
      </c>
      <c r="G147" s="67" t="s">
        <v>239</v>
      </c>
      <c r="H147" s="67" t="s">
        <v>683</v>
      </c>
      <c r="J147" s="68">
        <v>29259</v>
      </c>
      <c r="K147" s="74">
        <v>40217</v>
      </c>
    </row>
    <row r="148" spans="1:11" x14ac:dyDescent="0.25">
      <c r="A148" s="73" t="s">
        <v>322</v>
      </c>
      <c r="B148" s="67" t="s">
        <v>321</v>
      </c>
      <c r="C148" s="67" t="s">
        <v>991</v>
      </c>
      <c r="D148" s="67" t="s">
        <v>753</v>
      </c>
      <c r="E148" s="67" t="s">
        <v>972</v>
      </c>
      <c r="F148" s="67" t="s">
        <v>238</v>
      </c>
      <c r="G148" s="67" t="s">
        <v>239</v>
      </c>
      <c r="H148" s="67" t="s">
        <v>683</v>
      </c>
      <c r="J148" s="68">
        <v>37244</v>
      </c>
      <c r="K148" s="74">
        <v>42357</v>
      </c>
    </row>
    <row r="149" spans="1:11" x14ac:dyDescent="0.25">
      <c r="A149" s="73" t="s">
        <v>324</v>
      </c>
      <c r="B149" s="67" t="s">
        <v>323</v>
      </c>
      <c r="C149" s="67" t="s">
        <v>992</v>
      </c>
      <c r="D149" s="67" t="s">
        <v>993</v>
      </c>
      <c r="E149" s="67" t="s">
        <v>972</v>
      </c>
      <c r="F149" s="67" t="s">
        <v>238</v>
      </c>
      <c r="G149" s="67" t="s">
        <v>239</v>
      </c>
      <c r="H149" s="67" t="s">
        <v>683</v>
      </c>
      <c r="J149" s="68">
        <v>29259</v>
      </c>
      <c r="K149" s="74">
        <v>40217</v>
      </c>
    </row>
    <row r="150" spans="1:11" x14ac:dyDescent="0.25">
      <c r="A150" s="73" t="s">
        <v>326</v>
      </c>
      <c r="B150" s="67" t="s">
        <v>325</v>
      </c>
      <c r="C150" s="67" t="s">
        <v>994</v>
      </c>
      <c r="D150" s="67" t="s">
        <v>753</v>
      </c>
      <c r="E150" s="67" t="s">
        <v>972</v>
      </c>
      <c r="F150" s="67" t="s">
        <v>238</v>
      </c>
      <c r="G150" s="67" t="s">
        <v>239</v>
      </c>
      <c r="H150" s="67" t="s">
        <v>683</v>
      </c>
      <c r="J150" s="68">
        <v>36661</v>
      </c>
      <c r="K150" s="74">
        <v>41044</v>
      </c>
    </row>
    <row r="151" spans="1:11" x14ac:dyDescent="0.25">
      <c r="A151" s="73" t="s">
        <v>328</v>
      </c>
      <c r="B151" s="67" t="s">
        <v>327</v>
      </c>
      <c r="C151" s="67" t="s">
        <v>995</v>
      </c>
      <c r="D151" s="67" t="s">
        <v>735</v>
      </c>
      <c r="E151" s="67" t="s">
        <v>996</v>
      </c>
      <c r="F151" s="67" t="s">
        <v>238</v>
      </c>
      <c r="G151" s="67" t="s">
        <v>239</v>
      </c>
      <c r="H151" s="67" t="s">
        <v>683</v>
      </c>
      <c r="J151" s="68">
        <v>36970</v>
      </c>
      <c r="K151" s="74">
        <v>42083</v>
      </c>
    </row>
    <row r="152" spans="1:11" x14ac:dyDescent="0.25">
      <c r="A152" s="73" t="s">
        <v>331</v>
      </c>
      <c r="B152" s="67" t="s">
        <v>330</v>
      </c>
      <c r="C152" s="67" t="s">
        <v>997</v>
      </c>
      <c r="D152" s="67" t="s">
        <v>993</v>
      </c>
      <c r="E152" s="67" t="s">
        <v>996</v>
      </c>
      <c r="F152" s="67" t="s">
        <v>238</v>
      </c>
      <c r="G152" s="67" t="s">
        <v>239</v>
      </c>
      <c r="H152" s="67" t="s">
        <v>683</v>
      </c>
      <c r="J152" s="68">
        <v>29533</v>
      </c>
      <c r="K152" s="74">
        <v>40490</v>
      </c>
    </row>
    <row r="153" spans="1:11" x14ac:dyDescent="0.25">
      <c r="A153" s="73" t="s">
        <v>333</v>
      </c>
      <c r="B153" s="67" t="s">
        <v>332</v>
      </c>
      <c r="C153" s="67" t="s">
        <v>998</v>
      </c>
      <c r="D153" s="67" t="s">
        <v>999</v>
      </c>
      <c r="E153" s="67" t="s">
        <v>996</v>
      </c>
      <c r="F153" s="67" t="s">
        <v>238</v>
      </c>
      <c r="G153" s="67" t="s">
        <v>239</v>
      </c>
      <c r="H153" s="67" t="s">
        <v>683</v>
      </c>
      <c r="J153" s="68">
        <v>35986</v>
      </c>
      <c r="K153" s="74">
        <v>41830</v>
      </c>
    </row>
    <row r="154" spans="1:11" x14ac:dyDescent="0.25">
      <c r="A154" s="73" t="s">
        <v>335</v>
      </c>
      <c r="B154" s="67" t="s">
        <v>334</v>
      </c>
      <c r="C154" s="67" t="s">
        <v>1000</v>
      </c>
      <c r="D154" s="67" t="s">
        <v>1001</v>
      </c>
      <c r="E154" s="67" t="s">
        <v>996</v>
      </c>
      <c r="F154" s="67" t="s">
        <v>238</v>
      </c>
      <c r="G154" s="67" t="s">
        <v>239</v>
      </c>
      <c r="H154" s="67" t="s">
        <v>683</v>
      </c>
      <c r="J154" s="68">
        <v>33849</v>
      </c>
      <c r="K154" s="74">
        <v>42615</v>
      </c>
    </row>
    <row r="155" spans="1:11" x14ac:dyDescent="0.25">
      <c r="A155" s="73" t="s">
        <v>337</v>
      </c>
      <c r="B155" s="67" t="s">
        <v>336</v>
      </c>
      <c r="C155" s="67" t="s">
        <v>1002</v>
      </c>
      <c r="D155" s="67" t="s">
        <v>1003</v>
      </c>
      <c r="E155" s="67" t="s">
        <v>996</v>
      </c>
      <c r="F155" s="67" t="s">
        <v>238</v>
      </c>
      <c r="G155" s="67" t="s">
        <v>239</v>
      </c>
      <c r="H155" s="67" t="s">
        <v>683</v>
      </c>
      <c r="J155" s="68">
        <v>31223</v>
      </c>
      <c r="K155" s="74">
        <v>40719</v>
      </c>
    </row>
    <row r="156" spans="1:11" x14ac:dyDescent="0.25">
      <c r="A156" s="73" t="s">
        <v>339</v>
      </c>
      <c r="B156" s="67" t="s">
        <v>338</v>
      </c>
      <c r="C156" s="67" t="s">
        <v>1004</v>
      </c>
      <c r="D156" s="67" t="s">
        <v>1005</v>
      </c>
      <c r="E156" s="67" t="s">
        <v>996</v>
      </c>
      <c r="F156" s="67" t="s">
        <v>238</v>
      </c>
      <c r="G156" s="67" t="s">
        <v>239</v>
      </c>
      <c r="H156" s="67" t="s">
        <v>683</v>
      </c>
      <c r="J156" s="68">
        <v>36204</v>
      </c>
      <c r="K156" s="74">
        <v>41318</v>
      </c>
    </row>
    <row r="157" spans="1:11" x14ac:dyDescent="0.25">
      <c r="A157" s="73" t="s">
        <v>341</v>
      </c>
      <c r="B157" s="67" t="s">
        <v>340</v>
      </c>
      <c r="C157" s="67" t="s">
        <v>1006</v>
      </c>
      <c r="D157" s="67" t="s">
        <v>1007</v>
      </c>
      <c r="E157" s="67" t="s">
        <v>996</v>
      </c>
      <c r="F157" s="67" t="s">
        <v>238</v>
      </c>
      <c r="G157" s="67" t="s">
        <v>239</v>
      </c>
      <c r="H157" s="67" t="s">
        <v>683</v>
      </c>
      <c r="J157" s="68">
        <v>36768</v>
      </c>
      <c r="K157" s="74">
        <v>42977</v>
      </c>
    </row>
    <row r="158" spans="1:11" x14ac:dyDescent="0.25">
      <c r="A158" s="73" t="s">
        <v>343</v>
      </c>
      <c r="B158" s="67" t="s">
        <v>342</v>
      </c>
      <c r="C158" s="67" t="s">
        <v>1008</v>
      </c>
      <c r="D158" s="67" t="s">
        <v>693</v>
      </c>
      <c r="E158" s="67" t="s">
        <v>996</v>
      </c>
      <c r="F158" s="67" t="s">
        <v>238</v>
      </c>
      <c r="G158" s="67" t="s">
        <v>239</v>
      </c>
      <c r="H158" s="67" t="s">
        <v>683</v>
      </c>
      <c r="J158" s="68">
        <v>29499</v>
      </c>
      <c r="K158" s="74">
        <v>40456</v>
      </c>
    </row>
    <row r="159" spans="1:11" x14ac:dyDescent="0.25">
      <c r="A159" s="73" t="s">
        <v>345</v>
      </c>
      <c r="B159" s="67" t="s">
        <v>344</v>
      </c>
      <c r="C159" s="67" t="s">
        <v>1009</v>
      </c>
      <c r="D159" s="67" t="s">
        <v>971</v>
      </c>
      <c r="E159" s="67" t="s">
        <v>996</v>
      </c>
      <c r="F159" s="67" t="s">
        <v>238</v>
      </c>
      <c r="G159" s="67" t="s">
        <v>239</v>
      </c>
      <c r="H159" s="67" t="s">
        <v>683</v>
      </c>
      <c r="J159" s="68">
        <v>36147</v>
      </c>
      <c r="K159" s="74">
        <v>41991</v>
      </c>
    </row>
    <row r="160" spans="1:11" x14ac:dyDescent="0.25">
      <c r="A160" s="73" t="s">
        <v>347</v>
      </c>
      <c r="B160" s="67" t="s">
        <v>346</v>
      </c>
      <c r="C160" s="67" t="s">
        <v>1010</v>
      </c>
      <c r="D160" s="67" t="s">
        <v>1011</v>
      </c>
      <c r="E160" s="67" t="s">
        <v>996</v>
      </c>
      <c r="F160" s="67" t="s">
        <v>238</v>
      </c>
      <c r="G160" s="67" t="s">
        <v>239</v>
      </c>
      <c r="H160" s="67" t="s">
        <v>683</v>
      </c>
      <c r="J160" s="68">
        <v>33622</v>
      </c>
      <c r="K160" s="74">
        <v>42388</v>
      </c>
    </row>
    <row r="161" spans="1:11" x14ac:dyDescent="0.25">
      <c r="A161" s="73" t="s">
        <v>349</v>
      </c>
      <c r="B161" s="67" t="s">
        <v>348</v>
      </c>
      <c r="C161" s="67" t="s">
        <v>1012</v>
      </c>
      <c r="D161" s="67" t="s">
        <v>1013</v>
      </c>
      <c r="E161" s="67" t="s">
        <v>1014</v>
      </c>
      <c r="F161" s="67" t="s">
        <v>238</v>
      </c>
      <c r="G161" s="67" t="s">
        <v>239</v>
      </c>
      <c r="H161" s="67" t="s">
        <v>683</v>
      </c>
      <c r="J161" s="68">
        <v>35986</v>
      </c>
      <c r="K161" s="74">
        <v>41830</v>
      </c>
    </row>
    <row r="162" spans="1:11" x14ac:dyDescent="0.25">
      <c r="A162" s="73" t="s">
        <v>352</v>
      </c>
      <c r="B162" s="67" t="s">
        <v>351</v>
      </c>
      <c r="C162" s="67" t="s">
        <v>1015</v>
      </c>
      <c r="D162" s="67" t="s">
        <v>1016</v>
      </c>
      <c r="E162" s="67" t="s">
        <v>1014</v>
      </c>
      <c r="F162" s="67" t="s">
        <v>238</v>
      </c>
      <c r="G162" s="67" t="s">
        <v>239</v>
      </c>
      <c r="H162" s="67" t="s">
        <v>683</v>
      </c>
      <c r="J162" s="68">
        <v>35986</v>
      </c>
      <c r="K162" s="74">
        <v>41830</v>
      </c>
    </row>
    <row r="163" spans="1:11" x14ac:dyDescent="0.25">
      <c r="A163" s="73" t="s">
        <v>354</v>
      </c>
      <c r="B163" s="67" t="s">
        <v>353</v>
      </c>
      <c r="C163" s="67" t="s">
        <v>1017</v>
      </c>
      <c r="D163" s="67" t="s">
        <v>1018</v>
      </c>
      <c r="E163" s="67" t="s">
        <v>1014</v>
      </c>
      <c r="F163" s="67" t="s">
        <v>238</v>
      </c>
      <c r="G163" s="67" t="s">
        <v>239</v>
      </c>
      <c r="H163" s="67" t="s">
        <v>683</v>
      </c>
      <c r="J163" s="68">
        <v>35986</v>
      </c>
      <c r="K163" s="74">
        <v>41830</v>
      </c>
    </row>
    <row r="164" spans="1:11" x14ac:dyDescent="0.25">
      <c r="A164" s="73" t="s">
        <v>356</v>
      </c>
      <c r="B164" s="67" t="s">
        <v>355</v>
      </c>
      <c r="C164" s="67" t="s">
        <v>1019</v>
      </c>
      <c r="D164" s="67" t="s">
        <v>1020</v>
      </c>
      <c r="E164" s="67" t="s">
        <v>1014</v>
      </c>
      <c r="F164" s="67" t="s">
        <v>238</v>
      </c>
      <c r="G164" s="67" t="s">
        <v>239</v>
      </c>
      <c r="H164" s="67" t="s">
        <v>683</v>
      </c>
      <c r="J164" s="68">
        <v>35986</v>
      </c>
      <c r="K164" s="74">
        <v>41830</v>
      </c>
    </row>
    <row r="165" spans="1:11" x14ac:dyDescent="0.25">
      <c r="A165" s="73" t="s">
        <v>358</v>
      </c>
      <c r="B165" s="67" t="s">
        <v>357</v>
      </c>
      <c r="C165" s="67" t="s">
        <v>1021</v>
      </c>
      <c r="D165" s="67" t="s">
        <v>1022</v>
      </c>
      <c r="E165" s="67" t="s">
        <v>1014</v>
      </c>
      <c r="F165" s="67" t="s">
        <v>238</v>
      </c>
      <c r="G165" s="67" t="s">
        <v>239</v>
      </c>
      <c r="H165" s="67" t="s">
        <v>683</v>
      </c>
      <c r="J165" s="68">
        <v>35986</v>
      </c>
      <c r="K165" s="74">
        <v>41830</v>
      </c>
    </row>
    <row r="166" spans="1:11" x14ac:dyDescent="0.25">
      <c r="A166" s="73" t="s">
        <v>360</v>
      </c>
      <c r="B166" s="67" t="s">
        <v>359</v>
      </c>
      <c r="C166" s="67" t="s">
        <v>1023</v>
      </c>
      <c r="D166" s="67" t="s">
        <v>1024</v>
      </c>
      <c r="E166" s="67" t="s">
        <v>1014</v>
      </c>
      <c r="F166" s="67" t="s">
        <v>238</v>
      </c>
      <c r="G166" s="67" t="s">
        <v>239</v>
      </c>
      <c r="H166" s="67" t="s">
        <v>683</v>
      </c>
      <c r="J166" s="68">
        <v>35986</v>
      </c>
      <c r="K166" s="74">
        <v>41830</v>
      </c>
    </row>
    <row r="167" spans="1:11" x14ac:dyDescent="0.25">
      <c r="A167" s="73" t="s">
        <v>362</v>
      </c>
      <c r="B167" s="67" t="s">
        <v>361</v>
      </c>
      <c r="C167" s="67" t="s">
        <v>1025</v>
      </c>
      <c r="D167" s="67" t="s">
        <v>693</v>
      </c>
      <c r="E167" s="67" t="s">
        <v>1014</v>
      </c>
      <c r="F167" s="67" t="s">
        <v>238</v>
      </c>
      <c r="G167" s="67" t="s">
        <v>239</v>
      </c>
      <c r="H167" s="67" t="s">
        <v>683</v>
      </c>
      <c r="J167" s="68">
        <v>35986</v>
      </c>
      <c r="K167" s="74">
        <v>41830</v>
      </c>
    </row>
    <row r="168" spans="1:11" x14ac:dyDescent="0.25">
      <c r="A168" s="73" t="s">
        <v>364</v>
      </c>
      <c r="B168" s="67" t="s">
        <v>363</v>
      </c>
      <c r="C168" s="67" t="s">
        <v>1026</v>
      </c>
      <c r="D168" s="67" t="s">
        <v>1027</v>
      </c>
      <c r="E168" s="67" t="s">
        <v>1014</v>
      </c>
      <c r="F168" s="67" t="s">
        <v>238</v>
      </c>
      <c r="G168" s="67" t="s">
        <v>239</v>
      </c>
      <c r="H168" s="67" t="s">
        <v>683</v>
      </c>
      <c r="J168" s="68">
        <v>35986</v>
      </c>
      <c r="K168" s="74">
        <v>41830</v>
      </c>
    </row>
    <row r="169" spans="1:11" x14ac:dyDescent="0.25">
      <c r="A169" s="73" t="s">
        <v>366</v>
      </c>
      <c r="B169" s="67" t="s">
        <v>365</v>
      </c>
      <c r="C169" s="67" t="s">
        <v>1028</v>
      </c>
      <c r="D169" s="67" t="s">
        <v>1029</v>
      </c>
      <c r="E169" s="67" t="s">
        <v>1014</v>
      </c>
      <c r="F169" s="67" t="s">
        <v>238</v>
      </c>
      <c r="G169" s="67" t="s">
        <v>239</v>
      </c>
      <c r="H169" s="67" t="s">
        <v>683</v>
      </c>
      <c r="J169" s="68">
        <v>35986</v>
      </c>
      <c r="K169" s="74">
        <v>41830</v>
      </c>
    </row>
    <row r="170" spans="1:11" x14ac:dyDescent="0.25">
      <c r="A170" s="73" t="s">
        <v>368</v>
      </c>
      <c r="B170" s="67" t="s">
        <v>367</v>
      </c>
      <c r="C170" s="67" t="s">
        <v>1030</v>
      </c>
      <c r="D170" s="67" t="s">
        <v>799</v>
      </c>
      <c r="E170" s="67" t="s">
        <v>1014</v>
      </c>
      <c r="F170" s="67" t="s">
        <v>238</v>
      </c>
      <c r="G170" s="67" t="s">
        <v>239</v>
      </c>
      <c r="H170" s="67" t="s">
        <v>683</v>
      </c>
      <c r="J170" s="68">
        <v>35986</v>
      </c>
      <c r="K170" s="74">
        <v>41830</v>
      </c>
    </row>
    <row r="171" spans="1:11" x14ac:dyDescent="0.25">
      <c r="A171" s="73" t="s">
        <v>370</v>
      </c>
      <c r="B171" s="67" t="s">
        <v>369</v>
      </c>
      <c r="C171" s="67" t="s">
        <v>1031</v>
      </c>
      <c r="D171" s="67" t="s">
        <v>695</v>
      </c>
      <c r="E171" s="67" t="s">
        <v>1014</v>
      </c>
      <c r="F171" s="67" t="s">
        <v>238</v>
      </c>
      <c r="G171" s="67" t="s">
        <v>239</v>
      </c>
      <c r="H171" s="67" t="s">
        <v>683</v>
      </c>
      <c r="J171" s="68">
        <v>36732</v>
      </c>
      <c r="K171" s="74">
        <v>42941</v>
      </c>
    </row>
    <row r="172" spans="1:11" x14ac:dyDescent="0.25">
      <c r="A172" s="73" t="s">
        <v>372</v>
      </c>
      <c r="B172" s="67" t="s">
        <v>371</v>
      </c>
      <c r="C172" s="67" t="s">
        <v>1032</v>
      </c>
      <c r="D172" s="67" t="s">
        <v>1033</v>
      </c>
      <c r="E172" s="67" t="s">
        <v>1014</v>
      </c>
      <c r="F172" s="67" t="s">
        <v>238</v>
      </c>
      <c r="G172" s="67" t="s">
        <v>239</v>
      </c>
      <c r="H172" s="67" t="s">
        <v>683</v>
      </c>
      <c r="J172" s="68">
        <v>33771</v>
      </c>
      <c r="K172" s="74">
        <v>42537</v>
      </c>
    </row>
    <row r="173" spans="1:11" x14ac:dyDescent="0.25">
      <c r="A173" s="73" t="s">
        <v>374</v>
      </c>
      <c r="B173" s="67" t="s">
        <v>373</v>
      </c>
      <c r="C173" s="67" t="s">
        <v>1034</v>
      </c>
      <c r="D173" s="67" t="s">
        <v>1035</v>
      </c>
      <c r="E173" s="67" t="s">
        <v>1014</v>
      </c>
      <c r="F173" s="67" t="s">
        <v>238</v>
      </c>
      <c r="G173" s="67" t="s">
        <v>239</v>
      </c>
      <c r="H173" s="67" t="s">
        <v>683</v>
      </c>
      <c r="J173" s="68">
        <v>29259</v>
      </c>
      <c r="K173" s="74">
        <v>40217</v>
      </c>
    </row>
    <row r="174" spans="1:11" x14ac:dyDescent="0.25">
      <c r="A174" s="73" t="s">
        <v>376</v>
      </c>
      <c r="B174" s="67" t="s">
        <v>375</v>
      </c>
      <c r="C174" s="67" t="s">
        <v>1036</v>
      </c>
      <c r="D174" s="67" t="s">
        <v>1037</v>
      </c>
      <c r="E174" s="67" t="s">
        <v>1014</v>
      </c>
      <c r="F174" s="67" t="s">
        <v>238</v>
      </c>
      <c r="G174" s="67" t="s">
        <v>239</v>
      </c>
      <c r="H174" s="67" t="s">
        <v>683</v>
      </c>
      <c r="J174" s="68">
        <v>37244</v>
      </c>
      <c r="K174" s="74">
        <v>42357</v>
      </c>
    </row>
    <row r="175" spans="1:11" x14ac:dyDescent="0.25">
      <c r="A175" s="73" t="s">
        <v>378</v>
      </c>
      <c r="B175" s="67" t="s">
        <v>1038</v>
      </c>
      <c r="C175" s="67" t="s">
        <v>1039</v>
      </c>
      <c r="D175" s="67" t="s">
        <v>960</v>
      </c>
      <c r="E175" s="67" t="s">
        <v>1040</v>
      </c>
      <c r="F175" s="67" t="s">
        <v>238</v>
      </c>
      <c r="G175" s="67" t="s">
        <v>239</v>
      </c>
      <c r="H175" s="67" t="s">
        <v>683</v>
      </c>
      <c r="J175" s="68">
        <v>36352</v>
      </c>
      <c r="K175" s="74">
        <v>41466</v>
      </c>
    </row>
    <row r="176" spans="1:11" x14ac:dyDescent="0.25">
      <c r="A176" s="73" t="s">
        <v>381</v>
      </c>
      <c r="B176" s="67" t="s">
        <v>380</v>
      </c>
      <c r="C176" s="67" t="s">
        <v>1041</v>
      </c>
      <c r="D176" s="67" t="s">
        <v>1042</v>
      </c>
      <c r="E176" s="67" t="s">
        <v>1040</v>
      </c>
      <c r="F176" s="67" t="s">
        <v>238</v>
      </c>
      <c r="G176" s="67" t="s">
        <v>239</v>
      </c>
      <c r="H176" s="67" t="s">
        <v>683</v>
      </c>
      <c r="J176" s="68">
        <v>31071</v>
      </c>
      <c r="K176" s="74">
        <v>40567</v>
      </c>
    </row>
    <row r="177" spans="1:11" x14ac:dyDescent="0.25">
      <c r="A177" s="73" t="s">
        <v>383</v>
      </c>
      <c r="B177" s="67" t="s">
        <v>382</v>
      </c>
      <c r="C177" s="67" t="s">
        <v>1043</v>
      </c>
      <c r="D177" s="67" t="s">
        <v>1044</v>
      </c>
      <c r="E177" s="67" t="s">
        <v>1040</v>
      </c>
      <c r="F177" s="67" t="s">
        <v>238</v>
      </c>
      <c r="G177" s="67" t="s">
        <v>239</v>
      </c>
      <c r="H177" s="67" t="s">
        <v>683</v>
      </c>
      <c r="J177" s="68">
        <v>36656</v>
      </c>
      <c r="K177" s="74">
        <v>42865</v>
      </c>
    </row>
    <row r="178" spans="1:11" x14ac:dyDescent="0.25">
      <c r="A178" s="73" t="s">
        <v>385</v>
      </c>
      <c r="B178" s="67" t="s">
        <v>384</v>
      </c>
      <c r="C178" s="67" t="s">
        <v>1045</v>
      </c>
      <c r="D178" s="67" t="s">
        <v>1046</v>
      </c>
      <c r="E178" s="67" t="s">
        <v>1040</v>
      </c>
      <c r="F178" s="67" t="s">
        <v>238</v>
      </c>
      <c r="G178" s="67" t="s">
        <v>239</v>
      </c>
      <c r="H178" s="67" t="s">
        <v>683</v>
      </c>
      <c r="J178" s="68">
        <v>36071</v>
      </c>
      <c r="K178" s="74">
        <v>41915</v>
      </c>
    </row>
    <row r="179" spans="1:11" x14ac:dyDescent="0.25">
      <c r="A179" s="73" t="s">
        <v>387</v>
      </c>
      <c r="B179" s="67" t="s">
        <v>386</v>
      </c>
      <c r="C179" s="67" t="s">
        <v>1047</v>
      </c>
      <c r="D179" s="67" t="s">
        <v>1027</v>
      </c>
      <c r="E179" s="67" t="s">
        <v>1040</v>
      </c>
      <c r="F179" s="67" t="s">
        <v>238</v>
      </c>
      <c r="G179" s="67" t="s">
        <v>239</v>
      </c>
      <c r="H179" s="67" t="s">
        <v>683</v>
      </c>
      <c r="J179" s="68">
        <v>36968</v>
      </c>
      <c r="K179" s="74">
        <v>42081</v>
      </c>
    </row>
    <row r="180" spans="1:11" x14ac:dyDescent="0.25">
      <c r="A180" s="73" t="s">
        <v>389</v>
      </c>
      <c r="B180" s="67" t="s">
        <v>388</v>
      </c>
      <c r="C180" s="67" t="s">
        <v>1048</v>
      </c>
      <c r="D180" s="67" t="s">
        <v>955</v>
      </c>
      <c r="E180" s="67" t="s">
        <v>1040</v>
      </c>
      <c r="F180" s="67" t="s">
        <v>238</v>
      </c>
      <c r="G180" s="67" t="s">
        <v>239</v>
      </c>
      <c r="H180" s="67" t="s">
        <v>683</v>
      </c>
      <c r="J180" s="68">
        <v>33913</v>
      </c>
      <c r="K180" s="74">
        <v>42679</v>
      </c>
    </row>
    <row r="181" spans="1:11" x14ac:dyDescent="0.25">
      <c r="A181" s="73" t="s">
        <v>391</v>
      </c>
      <c r="B181" s="67" t="s">
        <v>390</v>
      </c>
      <c r="C181" s="67" t="s">
        <v>1049</v>
      </c>
      <c r="D181" s="67" t="s">
        <v>1050</v>
      </c>
      <c r="E181" s="67" t="s">
        <v>1040</v>
      </c>
      <c r="F181" s="67" t="s">
        <v>238</v>
      </c>
      <c r="G181" s="67" t="s">
        <v>239</v>
      </c>
      <c r="H181" s="67" t="s">
        <v>683</v>
      </c>
      <c r="J181" s="68">
        <v>36495</v>
      </c>
      <c r="K181" s="74">
        <v>41609</v>
      </c>
    </row>
    <row r="182" spans="1:11" x14ac:dyDescent="0.25">
      <c r="A182" s="73" t="s">
        <v>393</v>
      </c>
      <c r="B182" s="67" t="s">
        <v>392</v>
      </c>
      <c r="C182" s="67" t="s">
        <v>1051</v>
      </c>
      <c r="D182" s="67" t="s">
        <v>695</v>
      </c>
      <c r="E182" s="67" t="s">
        <v>1040</v>
      </c>
      <c r="F182" s="67" t="s">
        <v>238</v>
      </c>
      <c r="G182" s="67" t="s">
        <v>239</v>
      </c>
      <c r="H182" s="67" t="s">
        <v>683</v>
      </c>
      <c r="J182" s="68">
        <v>36570</v>
      </c>
      <c r="K182" s="74">
        <v>40953</v>
      </c>
    </row>
    <row r="183" spans="1:11" x14ac:dyDescent="0.25">
      <c r="A183" s="73" t="s">
        <v>395</v>
      </c>
      <c r="B183" s="67" t="s">
        <v>394</v>
      </c>
      <c r="C183" s="67" t="s">
        <v>1052</v>
      </c>
      <c r="D183" s="67" t="s">
        <v>1053</v>
      </c>
      <c r="E183" s="67" t="s">
        <v>1040</v>
      </c>
      <c r="F183" s="67" t="s">
        <v>238</v>
      </c>
      <c r="G183" s="67" t="s">
        <v>239</v>
      </c>
      <c r="H183" s="67" t="s">
        <v>683</v>
      </c>
      <c r="J183" s="68">
        <v>36791</v>
      </c>
      <c r="K183" s="74">
        <v>43000</v>
      </c>
    </row>
    <row r="184" spans="1:11" x14ac:dyDescent="0.25">
      <c r="A184" s="73" t="s">
        <v>397</v>
      </c>
      <c r="B184" s="67" t="s">
        <v>396</v>
      </c>
      <c r="C184" s="67" t="s">
        <v>1054</v>
      </c>
      <c r="D184" s="67" t="s">
        <v>1055</v>
      </c>
      <c r="E184" s="67" t="s">
        <v>1040</v>
      </c>
      <c r="F184" s="67" t="s">
        <v>238</v>
      </c>
      <c r="G184" s="67" t="s">
        <v>239</v>
      </c>
      <c r="H184" s="67" t="s">
        <v>683</v>
      </c>
      <c r="J184" s="68">
        <v>35964</v>
      </c>
      <c r="K184" s="74">
        <v>41808</v>
      </c>
    </row>
    <row r="185" spans="1:11" x14ac:dyDescent="0.25">
      <c r="A185" s="73" t="s">
        <v>399</v>
      </c>
      <c r="B185" s="67" t="s">
        <v>398</v>
      </c>
      <c r="C185" s="67" t="s">
        <v>1056</v>
      </c>
      <c r="D185" s="67" t="s">
        <v>727</v>
      </c>
      <c r="E185" s="67" t="s">
        <v>1040</v>
      </c>
      <c r="F185" s="67" t="s">
        <v>238</v>
      </c>
      <c r="G185" s="67" t="s">
        <v>239</v>
      </c>
      <c r="H185" s="67" t="s">
        <v>683</v>
      </c>
      <c r="J185" s="68">
        <v>31358</v>
      </c>
      <c r="K185" s="74">
        <v>40854</v>
      </c>
    </row>
    <row r="186" spans="1:11" x14ac:dyDescent="0.25">
      <c r="A186" s="73" t="s">
        <v>401</v>
      </c>
      <c r="B186" s="67" t="s">
        <v>400</v>
      </c>
      <c r="C186" s="67" t="s">
        <v>1057</v>
      </c>
      <c r="D186" s="67" t="s">
        <v>1058</v>
      </c>
      <c r="E186" s="67" t="s">
        <v>402</v>
      </c>
      <c r="F186" s="67" t="s">
        <v>402</v>
      </c>
      <c r="G186" s="67" t="s">
        <v>404</v>
      </c>
      <c r="H186" s="67" t="s">
        <v>683</v>
      </c>
      <c r="J186" s="68">
        <v>36575</v>
      </c>
      <c r="K186" s="74">
        <v>42785</v>
      </c>
    </row>
    <row r="187" spans="1:11" x14ac:dyDescent="0.25">
      <c r="A187" s="73" t="s">
        <v>406</v>
      </c>
      <c r="B187" s="67" t="s">
        <v>405</v>
      </c>
      <c r="C187" s="67" t="s">
        <v>1059</v>
      </c>
      <c r="D187" s="67" t="s">
        <v>1060</v>
      </c>
      <c r="E187" s="67" t="s">
        <v>402</v>
      </c>
      <c r="F187" s="67" t="s">
        <v>402</v>
      </c>
      <c r="G187" s="67" t="s">
        <v>404</v>
      </c>
      <c r="H187" s="67" t="s">
        <v>683</v>
      </c>
      <c r="J187" s="68">
        <v>37131</v>
      </c>
      <c r="K187" s="74">
        <v>42244</v>
      </c>
    </row>
    <row r="188" spans="1:11" x14ac:dyDescent="0.25">
      <c r="A188" s="73" t="s">
        <v>408</v>
      </c>
      <c r="B188" s="67" t="s">
        <v>407</v>
      </c>
      <c r="C188" s="67" t="s">
        <v>1061</v>
      </c>
      <c r="D188" s="67" t="s">
        <v>1062</v>
      </c>
      <c r="E188" s="67" t="s">
        <v>402</v>
      </c>
      <c r="F188" s="67" t="s">
        <v>402</v>
      </c>
      <c r="G188" s="67" t="s">
        <v>404</v>
      </c>
      <c r="H188" s="67" t="s">
        <v>683</v>
      </c>
      <c r="J188" s="68">
        <v>36454</v>
      </c>
      <c r="K188" s="74">
        <v>41568</v>
      </c>
    </row>
    <row r="189" spans="1:11" x14ac:dyDescent="0.25">
      <c r="A189" s="73" t="s">
        <v>410</v>
      </c>
      <c r="B189" s="67" t="s">
        <v>409</v>
      </c>
      <c r="C189" s="67" t="s">
        <v>1063</v>
      </c>
      <c r="D189" s="67" t="s">
        <v>1064</v>
      </c>
      <c r="E189" s="67" t="s">
        <v>402</v>
      </c>
      <c r="F189" s="67" t="s">
        <v>402</v>
      </c>
      <c r="G189" s="67" t="s">
        <v>404</v>
      </c>
      <c r="H189" s="67" t="s">
        <v>683</v>
      </c>
      <c r="J189" s="68">
        <v>36622</v>
      </c>
      <c r="K189" s="74">
        <v>42831</v>
      </c>
    </row>
    <row r="190" spans="1:11" x14ac:dyDescent="0.25">
      <c r="A190" s="73" t="s">
        <v>412</v>
      </c>
      <c r="B190" s="67" t="s">
        <v>411</v>
      </c>
      <c r="C190" s="67" t="s">
        <v>1065</v>
      </c>
      <c r="D190" s="67" t="s">
        <v>817</v>
      </c>
      <c r="E190" s="67" t="s">
        <v>402</v>
      </c>
      <c r="F190" s="67" t="s">
        <v>402</v>
      </c>
      <c r="G190" s="67" t="s">
        <v>404</v>
      </c>
      <c r="H190" s="67" t="s">
        <v>683</v>
      </c>
      <c r="J190" s="68">
        <v>36539</v>
      </c>
      <c r="K190" s="74">
        <v>40922</v>
      </c>
    </row>
    <row r="191" spans="1:11" x14ac:dyDescent="0.25">
      <c r="A191" s="73" t="s">
        <v>414</v>
      </c>
      <c r="B191" s="67" t="s">
        <v>413</v>
      </c>
      <c r="C191" s="67" t="s">
        <v>1066</v>
      </c>
      <c r="D191" s="67" t="s">
        <v>1067</v>
      </c>
      <c r="E191" s="67" t="s">
        <v>402</v>
      </c>
      <c r="F191" s="67" t="s">
        <v>402</v>
      </c>
      <c r="G191" s="67" t="s">
        <v>404</v>
      </c>
      <c r="H191" s="67" t="s">
        <v>683</v>
      </c>
      <c r="J191" s="68">
        <v>35939</v>
      </c>
      <c r="K191" s="74">
        <v>41783</v>
      </c>
    </row>
    <row r="192" spans="1:11" x14ac:dyDescent="0.25">
      <c r="A192" s="73" t="s">
        <v>416</v>
      </c>
      <c r="B192" s="67" t="s">
        <v>415</v>
      </c>
      <c r="C192" s="67" t="s">
        <v>1068</v>
      </c>
      <c r="D192" s="67" t="s">
        <v>1069</v>
      </c>
      <c r="E192" s="67" t="s">
        <v>402</v>
      </c>
      <c r="F192" s="67" t="s">
        <v>402</v>
      </c>
      <c r="G192" s="67" t="s">
        <v>404</v>
      </c>
      <c r="H192" s="67" t="s">
        <v>683</v>
      </c>
      <c r="J192" s="68">
        <v>31109</v>
      </c>
      <c r="K192" s="74">
        <v>40605</v>
      </c>
    </row>
    <row r="193" spans="1:11" x14ac:dyDescent="0.25">
      <c r="A193" s="73" t="s">
        <v>418</v>
      </c>
      <c r="B193" s="67" t="s">
        <v>417</v>
      </c>
      <c r="C193" s="67" t="s">
        <v>1070</v>
      </c>
      <c r="D193" s="67" t="s">
        <v>1071</v>
      </c>
      <c r="E193" s="67" t="s">
        <v>402</v>
      </c>
      <c r="F193" s="67" t="s">
        <v>402</v>
      </c>
      <c r="G193" s="67" t="s">
        <v>404</v>
      </c>
      <c r="H193" s="67" t="s">
        <v>683</v>
      </c>
      <c r="J193" s="68">
        <v>33631</v>
      </c>
      <c r="K193" s="74">
        <v>42397</v>
      </c>
    </row>
    <row r="194" spans="1:11" x14ac:dyDescent="0.25">
      <c r="A194" s="73" t="s">
        <v>420</v>
      </c>
      <c r="B194" s="67" t="s">
        <v>419</v>
      </c>
      <c r="C194" s="67" t="s">
        <v>1072</v>
      </c>
      <c r="D194" s="67" t="s">
        <v>1020</v>
      </c>
      <c r="E194" s="67" t="s">
        <v>402</v>
      </c>
      <c r="F194" s="67" t="s">
        <v>402</v>
      </c>
      <c r="G194" s="67" t="s">
        <v>404</v>
      </c>
      <c r="H194" s="67" t="s">
        <v>683</v>
      </c>
      <c r="J194" s="68">
        <v>36320</v>
      </c>
      <c r="K194" s="74">
        <v>41434</v>
      </c>
    </row>
    <row r="195" spans="1:11" x14ac:dyDescent="0.25">
      <c r="A195" s="73" t="s">
        <v>422</v>
      </c>
      <c r="B195" s="67" t="s">
        <v>421</v>
      </c>
      <c r="C195" s="67" t="s">
        <v>1073</v>
      </c>
      <c r="D195" s="67" t="s">
        <v>1074</v>
      </c>
      <c r="E195" s="67" t="s">
        <v>402</v>
      </c>
      <c r="F195" s="67" t="s">
        <v>402</v>
      </c>
      <c r="G195" s="67" t="s">
        <v>404</v>
      </c>
      <c r="H195" s="67" t="s">
        <v>683</v>
      </c>
      <c r="J195" s="68">
        <v>36600</v>
      </c>
      <c r="K195" s="74">
        <v>42809</v>
      </c>
    </row>
    <row r="196" spans="1:11" x14ac:dyDescent="0.25">
      <c r="A196" s="73" t="s">
        <v>424</v>
      </c>
      <c r="B196" s="67" t="s">
        <v>423</v>
      </c>
      <c r="C196" s="67" t="s">
        <v>1075</v>
      </c>
      <c r="D196" s="67" t="s">
        <v>1076</v>
      </c>
      <c r="E196" s="67" t="s">
        <v>402</v>
      </c>
      <c r="F196" s="67" t="s">
        <v>402</v>
      </c>
      <c r="G196" s="67" t="s">
        <v>404</v>
      </c>
      <c r="H196" s="67" t="s">
        <v>683</v>
      </c>
      <c r="J196" s="68">
        <v>37236</v>
      </c>
      <c r="K196" s="74">
        <v>42349</v>
      </c>
    </row>
    <row r="197" spans="1:11" x14ac:dyDescent="0.25">
      <c r="A197" s="73" t="s">
        <v>426</v>
      </c>
      <c r="B197" s="67" t="s">
        <v>425</v>
      </c>
      <c r="C197" s="67" t="s">
        <v>1077</v>
      </c>
      <c r="D197" s="67" t="s">
        <v>1078</v>
      </c>
      <c r="E197" s="67" t="s">
        <v>402</v>
      </c>
      <c r="F197" s="67" t="s">
        <v>402</v>
      </c>
      <c r="G197" s="67" t="s">
        <v>404</v>
      </c>
      <c r="H197" s="67" t="s">
        <v>683</v>
      </c>
      <c r="J197" s="68">
        <v>33640</v>
      </c>
      <c r="K197" s="74">
        <v>42406</v>
      </c>
    </row>
    <row r="198" spans="1:11" x14ac:dyDescent="0.25">
      <c r="A198" s="73" t="s">
        <v>428</v>
      </c>
      <c r="B198" s="67" t="s">
        <v>427</v>
      </c>
      <c r="C198" s="67" t="s">
        <v>1079</v>
      </c>
      <c r="D198" s="67" t="s">
        <v>1080</v>
      </c>
      <c r="E198" s="67" t="s">
        <v>402</v>
      </c>
      <c r="F198" s="67" t="s">
        <v>402</v>
      </c>
      <c r="G198" s="67" t="s">
        <v>404</v>
      </c>
      <c r="H198" s="67" t="s">
        <v>683</v>
      </c>
      <c r="J198" s="68">
        <v>35990</v>
      </c>
      <c r="K198" s="74">
        <v>41834</v>
      </c>
    </row>
    <row r="199" spans="1:11" x14ac:dyDescent="0.25">
      <c r="A199" s="73" t="s">
        <v>430</v>
      </c>
      <c r="B199" s="67" t="s">
        <v>429</v>
      </c>
      <c r="C199" s="67" t="s">
        <v>1081</v>
      </c>
      <c r="D199" s="67" t="s">
        <v>1082</v>
      </c>
      <c r="E199" s="67" t="s">
        <v>1083</v>
      </c>
      <c r="F199" s="67" t="s">
        <v>402</v>
      </c>
      <c r="G199" s="67" t="s">
        <v>16</v>
      </c>
      <c r="H199" s="67" t="s">
        <v>683</v>
      </c>
      <c r="J199" s="68">
        <v>36172</v>
      </c>
      <c r="K199" s="74">
        <v>41286</v>
      </c>
    </row>
    <row r="200" spans="1:11" x14ac:dyDescent="0.25">
      <c r="A200" s="73" t="s">
        <v>433</v>
      </c>
      <c r="B200" s="67" t="s">
        <v>432</v>
      </c>
      <c r="C200" s="67" t="s">
        <v>1084</v>
      </c>
      <c r="D200" s="67" t="s">
        <v>1085</v>
      </c>
      <c r="E200" s="67" t="s">
        <v>1083</v>
      </c>
      <c r="F200" s="67" t="s">
        <v>402</v>
      </c>
      <c r="G200" s="67" t="s">
        <v>16</v>
      </c>
      <c r="H200" s="67" t="s">
        <v>683</v>
      </c>
      <c r="J200" s="68">
        <v>36840</v>
      </c>
      <c r="K200" s="74">
        <v>41223</v>
      </c>
    </row>
    <row r="201" spans="1:11" x14ac:dyDescent="0.25">
      <c r="A201" s="73" t="s">
        <v>435</v>
      </c>
      <c r="B201" s="67" t="s">
        <v>434</v>
      </c>
      <c r="C201" s="67" t="s">
        <v>1086</v>
      </c>
      <c r="D201" s="67" t="s">
        <v>1087</v>
      </c>
      <c r="E201" s="67" t="s">
        <v>1083</v>
      </c>
      <c r="F201" s="67" t="s">
        <v>402</v>
      </c>
      <c r="G201" s="67" t="s">
        <v>16</v>
      </c>
      <c r="H201" s="67" t="s">
        <v>683</v>
      </c>
      <c r="J201" s="68">
        <v>36763</v>
      </c>
      <c r="K201" s="74">
        <v>42972</v>
      </c>
    </row>
    <row r="202" spans="1:11" x14ac:dyDescent="0.25">
      <c r="A202" s="73" t="s">
        <v>437</v>
      </c>
      <c r="B202" s="67" t="s">
        <v>436</v>
      </c>
      <c r="C202" s="67" t="s">
        <v>1088</v>
      </c>
      <c r="D202" s="67" t="s">
        <v>1089</v>
      </c>
      <c r="E202" s="67" t="s">
        <v>1083</v>
      </c>
      <c r="F202" s="67" t="s">
        <v>402</v>
      </c>
      <c r="G202" s="67" t="s">
        <v>16</v>
      </c>
      <c r="H202" s="67" t="s">
        <v>683</v>
      </c>
      <c r="J202" s="68">
        <v>31247</v>
      </c>
      <c r="K202" s="74">
        <v>40743</v>
      </c>
    </row>
    <row r="203" spans="1:11" x14ac:dyDescent="0.25">
      <c r="A203" s="73" t="s">
        <v>439</v>
      </c>
      <c r="B203" s="67" t="s">
        <v>438</v>
      </c>
      <c r="C203" s="67" t="s">
        <v>1090</v>
      </c>
      <c r="D203" s="67" t="s">
        <v>1091</v>
      </c>
      <c r="E203" s="67" t="s">
        <v>1083</v>
      </c>
      <c r="F203" s="67" t="s">
        <v>402</v>
      </c>
      <c r="G203" s="67" t="s">
        <v>16</v>
      </c>
      <c r="H203" s="67" t="s">
        <v>683</v>
      </c>
      <c r="J203" s="68">
        <v>33707</v>
      </c>
      <c r="K203" s="74">
        <v>42473</v>
      </c>
    </row>
    <row r="204" spans="1:11" x14ac:dyDescent="0.25">
      <c r="A204" s="73" t="s">
        <v>441</v>
      </c>
      <c r="B204" s="67" t="s">
        <v>440</v>
      </c>
      <c r="C204" s="67" t="s">
        <v>930</v>
      </c>
      <c r="D204" s="67" t="s">
        <v>1092</v>
      </c>
      <c r="E204" s="67" t="s">
        <v>1083</v>
      </c>
      <c r="F204" s="67" t="s">
        <v>402</v>
      </c>
      <c r="G204" s="67" t="s">
        <v>16</v>
      </c>
      <c r="H204" s="67" t="s">
        <v>683</v>
      </c>
      <c r="J204" s="68">
        <v>36560</v>
      </c>
      <c r="K204" s="74">
        <v>42770</v>
      </c>
    </row>
    <row r="205" spans="1:11" x14ac:dyDescent="0.25">
      <c r="A205" s="73" t="s">
        <v>443</v>
      </c>
      <c r="B205" s="67" t="s">
        <v>442</v>
      </c>
      <c r="C205" s="67" t="s">
        <v>1093</v>
      </c>
      <c r="D205" s="67" t="s">
        <v>785</v>
      </c>
      <c r="E205" s="67" t="s">
        <v>1083</v>
      </c>
      <c r="F205" s="67" t="s">
        <v>402</v>
      </c>
      <c r="G205" s="67" t="s">
        <v>16</v>
      </c>
      <c r="H205" s="67" t="s">
        <v>683</v>
      </c>
      <c r="J205" s="68">
        <v>37032</v>
      </c>
      <c r="K205" s="74">
        <v>42145</v>
      </c>
    </row>
    <row r="206" spans="1:11" x14ac:dyDescent="0.25">
      <c r="A206" s="73" t="s">
        <v>445</v>
      </c>
      <c r="B206" s="67" t="s">
        <v>444</v>
      </c>
      <c r="C206" s="67" t="s">
        <v>1094</v>
      </c>
      <c r="D206" s="67" t="s">
        <v>1095</v>
      </c>
      <c r="E206" s="67" t="s">
        <v>1083</v>
      </c>
      <c r="F206" s="67" t="s">
        <v>402</v>
      </c>
      <c r="G206" s="67" t="s">
        <v>16</v>
      </c>
      <c r="H206" s="67" t="s">
        <v>683</v>
      </c>
      <c r="J206" s="68">
        <v>36847</v>
      </c>
      <c r="K206" s="74">
        <v>41230</v>
      </c>
    </row>
    <row r="207" spans="1:11" x14ac:dyDescent="0.25">
      <c r="A207" s="73" t="s">
        <v>447</v>
      </c>
      <c r="B207" s="67" t="s">
        <v>446</v>
      </c>
      <c r="C207" s="67" t="s">
        <v>1096</v>
      </c>
      <c r="D207" s="67" t="s">
        <v>1097</v>
      </c>
      <c r="E207" s="67" t="s">
        <v>1083</v>
      </c>
      <c r="F207" s="67" t="s">
        <v>402</v>
      </c>
      <c r="G207" s="67" t="s">
        <v>16</v>
      </c>
      <c r="H207" s="67" t="s">
        <v>683</v>
      </c>
      <c r="J207" s="68">
        <v>36134</v>
      </c>
      <c r="K207" s="74">
        <v>41978</v>
      </c>
    </row>
    <row r="208" spans="1:11" x14ac:dyDescent="0.25">
      <c r="A208" s="73" t="s">
        <v>449</v>
      </c>
      <c r="B208" s="67" t="s">
        <v>448</v>
      </c>
      <c r="C208" s="67" t="s">
        <v>1098</v>
      </c>
      <c r="D208" s="67" t="s">
        <v>1099</v>
      </c>
      <c r="E208" s="67" t="s">
        <v>1100</v>
      </c>
      <c r="F208" s="67" t="s">
        <v>402</v>
      </c>
      <c r="G208" s="67" t="s">
        <v>16</v>
      </c>
      <c r="H208" s="67" t="s">
        <v>683</v>
      </c>
      <c r="J208" s="68">
        <v>36726</v>
      </c>
      <c r="K208" s="74">
        <v>42935</v>
      </c>
    </row>
    <row r="209" spans="1:11" x14ac:dyDescent="0.25">
      <c r="A209" s="73" t="s">
        <v>452</v>
      </c>
      <c r="B209" s="67" t="s">
        <v>451</v>
      </c>
      <c r="C209" s="67" t="s">
        <v>1101</v>
      </c>
      <c r="D209" s="67" t="s">
        <v>1102</v>
      </c>
      <c r="E209" s="67" t="s">
        <v>1100</v>
      </c>
      <c r="F209" s="67" t="s">
        <v>402</v>
      </c>
      <c r="G209" s="67" t="s">
        <v>16</v>
      </c>
      <c r="H209" s="67" t="s">
        <v>683</v>
      </c>
      <c r="J209" s="68">
        <v>31088</v>
      </c>
      <c r="K209" s="74">
        <v>40584</v>
      </c>
    </row>
    <row r="210" spans="1:11" x14ac:dyDescent="0.25">
      <c r="A210" s="73" t="s">
        <v>454</v>
      </c>
      <c r="B210" s="67" t="s">
        <v>453</v>
      </c>
      <c r="C210" s="67" t="s">
        <v>923</v>
      </c>
      <c r="D210" s="67" t="s">
        <v>1103</v>
      </c>
      <c r="E210" s="67" t="s">
        <v>1100</v>
      </c>
      <c r="F210" s="67" t="s">
        <v>402</v>
      </c>
      <c r="G210" s="67" t="s">
        <v>16</v>
      </c>
      <c r="H210" s="67" t="s">
        <v>683</v>
      </c>
      <c r="J210" s="68">
        <v>29499</v>
      </c>
      <c r="K210" s="74">
        <v>40456</v>
      </c>
    </row>
    <row r="211" spans="1:11" x14ac:dyDescent="0.25">
      <c r="A211" s="73" t="s">
        <v>456</v>
      </c>
      <c r="B211" s="67" t="s">
        <v>455</v>
      </c>
      <c r="C211" s="67" t="s">
        <v>1104</v>
      </c>
      <c r="D211" s="67" t="s">
        <v>712</v>
      </c>
      <c r="E211" s="67" t="s">
        <v>1100</v>
      </c>
      <c r="F211" s="67" t="s">
        <v>402</v>
      </c>
      <c r="G211" s="67" t="s">
        <v>16</v>
      </c>
      <c r="H211" s="67" t="s">
        <v>683</v>
      </c>
      <c r="I211" s="67" t="s">
        <v>689</v>
      </c>
      <c r="J211" s="68">
        <v>35986</v>
      </c>
      <c r="K211" s="74">
        <v>41830</v>
      </c>
    </row>
    <row r="212" spans="1:11" x14ac:dyDescent="0.25">
      <c r="A212" s="73" t="s">
        <v>458</v>
      </c>
      <c r="B212" s="67" t="s">
        <v>1105</v>
      </c>
      <c r="C212" s="67" t="s">
        <v>1106</v>
      </c>
      <c r="D212" s="67" t="s">
        <v>1046</v>
      </c>
      <c r="E212" s="67" t="s">
        <v>1100</v>
      </c>
      <c r="F212" s="67" t="s">
        <v>402</v>
      </c>
      <c r="G212" s="67" t="s">
        <v>16</v>
      </c>
      <c r="H212" s="67" t="s">
        <v>683</v>
      </c>
      <c r="I212" s="67" t="s">
        <v>689</v>
      </c>
      <c r="J212" s="68">
        <v>29499</v>
      </c>
      <c r="K212" s="74">
        <v>40456</v>
      </c>
    </row>
    <row r="213" spans="1:11" x14ac:dyDescent="0.25">
      <c r="A213" s="73" t="s">
        <v>460</v>
      </c>
      <c r="B213" s="67" t="s">
        <v>459</v>
      </c>
      <c r="C213" s="67" t="s">
        <v>1107</v>
      </c>
      <c r="D213" s="67" t="s">
        <v>1108</v>
      </c>
      <c r="E213" s="67" t="s">
        <v>1100</v>
      </c>
      <c r="F213" s="67" t="s">
        <v>402</v>
      </c>
      <c r="G213" s="67" t="s">
        <v>16</v>
      </c>
      <c r="H213" s="67" t="s">
        <v>683</v>
      </c>
      <c r="I213" s="67" t="s">
        <v>684</v>
      </c>
      <c r="J213" s="68">
        <v>36147</v>
      </c>
      <c r="K213" s="74">
        <v>41991</v>
      </c>
    </row>
    <row r="214" spans="1:11" x14ac:dyDescent="0.25">
      <c r="A214" s="73" t="s">
        <v>462</v>
      </c>
      <c r="B214" s="67" t="s">
        <v>461</v>
      </c>
      <c r="C214" s="67" t="s">
        <v>1109</v>
      </c>
      <c r="D214" s="67" t="s">
        <v>1110</v>
      </c>
      <c r="E214" s="67" t="s">
        <v>1100</v>
      </c>
      <c r="F214" s="67" t="s">
        <v>402</v>
      </c>
      <c r="G214" s="67" t="s">
        <v>16</v>
      </c>
      <c r="H214" s="67" t="s">
        <v>683</v>
      </c>
      <c r="I214" s="67" t="s">
        <v>689</v>
      </c>
      <c r="J214" s="68">
        <v>33622</v>
      </c>
      <c r="K214" s="74">
        <v>42388</v>
      </c>
    </row>
    <row r="215" spans="1:11" x14ac:dyDescent="0.25">
      <c r="A215" s="73" t="s">
        <v>464</v>
      </c>
      <c r="B215" s="67" t="s">
        <v>463</v>
      </c>
      <c r="C215" s="67" t="s">
        <v>1111</v>
      </c>
      <c r="D215" s="67" t="s">
        <v>1112</v>
      </c>
      <c r="E215" s="67" t="s">
        <v>1100</v>
      </c>
      <c r="F215" s="67" t="s">
        <v>402</v>
      </c>
      <c r="G215" s="67" t="s">
        <v>16</v>
      </c>
      <c r="H215" s="67" t="s">
        <v>683</v>
      </c>
      <c r="I215" s="67" t="s">
        <v>684</v>
      </c>
      <c r="J215" s="68">
        <v>35986</v>
      </c>
      <c r="K215" s="74">
        <v>41830</v>
      </c>
    </row>
    <row r="216" spans="1:11" x14ac:dyDescent="0.25">
      <c r="A216" s="73" t="s">
        <v>466</v>
      </c>
      <c r="B216" s="67" t="s">
        <v>465</v>
      </c>
      <c r="C216" s="67" t="s">
        <v>1113</v>
      </c>
      <c r="D216" s="67" t="s">
        <v>817</v>
      </c>
      <c r="E216" s="67" t="s">
        <v>1100</v>
      </c>
      <c r="F216" s="67" t="s">
        <v>402</v>
      </c>
      <c r="G216" s="67" t="s">
        <v>16</v>
      </c>
      <c r="H216" s="67" t="s">
        <v>683</v>
      </c>
      <c r="I216" s="67" t="s">
        <v>684</v>
      </c>
      <c r="J216" s="68">
        <v>35986</v>
      </c>
      <c r="K216" s="74">
        <v>41830</v>
      </c>
    </row>
    <row r="217" spans="1:11" x14ac:dyDescent="0.25">
      <c r="A217" s="73" t="s">
        <v>468</v>
      </c>
      <c r="B217" s="67" t="s">
        <v>467</v>
      </c>
      <c r="C217" s="67" t="s">
        <v>1114</v>
      </c>
      <c r="D217" s="67" t="s">
        <v>1115</v>
      </c>
      <c r="E217" s="67" t="s">
        <v>1100</v>
      </c>
      <c r="F217" s="67" t="s">
        <v>402</v>
      </c>
      <c r="G217" s="67" t="s">
        <v>16</v>
      </c>
      <c r="H217" s="67" t="s">
        <v>683</v>
      </c>
      <c r="I217" s="67" t="s">
        <v>689</v>
      </c>
      <c r="J217" s="68">
        <v>35986</v>
      </c>
      <c r="K217" s="74">
        <v>41830</v>
      </c>
    </row>
    <row r="218" spans="1:11" x14ac:dyDescent="0.25">
      <c r="A218" s="73" t="s">
        <v>470</v>
      </c>
      <c r="B218" s="67" t="s">
        <v>1116</v>
      </c>
      <c r="C218" s="67" t="s">
        <v>1117</v>
      </c>
      <c r="D218" s="67" t="s">
        <v>1078</v>
      </c>
      <c r="E218" s="67" t="s">
        <v>1100</v>
      </c>
      <c r="F218" s="67" t="s">
        <v>402</v>
      </c>
      <c r="G218" s="67" t="s">
        <v>16</v>
      </c>
      <c r="H218" s="67" t="s">
        <v>683</v>
      </c>
      <c r="I218" s="67" t="s">
        <v>684</v>
      </c>
      <c r="J218" s="68">
        <v>35986</v>
      </c>
      <c r="K218" s="74">
        <v>41830</v>
      </c>
    </row>
    <row r="219" spans="1:11" x14ac:dyDescent="0.25">
      <c r="A219" s="73" t="s">
        <v>472</v>
      </c>
      <c r="B219" s="67" t="s">
        <v>471</v>
      </c>
      <c r="C219" s="67" t="s">
        <v>1118</v>
      </c>
      <c r="D219" s="67" t="s">
        <v>1119</v>
      </c>
      <c r="E219" s="67" t="s">
        <v>1120</v>
      </c>
      <c r="F219" s="67" t="s">
        <v>402</v>
      </c>
      <c r="G219" s="67" t="s">
        <v>16</v>
      </c>
      <c r="H219" s="67" t="s">
        <v>683</v>
      </c>
      <c r="I219" s="67" t="s">
        <v>689</v>
      </c>
      <c r="J219" s="68">
        <v>35986</v>
      </c>
      <c r="K219" s="74">
        <v>41830</v>
      </c>
    </row>
    <row r="220" spans="1:11" x14ac:dyDescent="0.25">
      <c r="A220" s="73" t="s">
        <v>475</v>
      </c>
      <c r="B220" s="67" t="s">
        <v>474</v>
      </c>
      <c r="C220" s="67" t="s">
        <v>1121</v>
      </c>
      <c r="D220" s="67" t="s">
        <v>957</v>
      </c>
      <c r="E220" s="67" t="s">
        <v>1120</v>
      </c>
      <c r="F220" s="67" t="s">
        <v>402</v>
      </c>
      <c r="G220" s="67" t="s">
        <v>16</v>
      </c>
      <c r="H220" s="67" t="s">
        <v>683</v>
      </c>
      <c r="I220" s="67" t="s">
        <v>684</v>
      </c>
      <c r="J220" s="68">
        <v>29256</v>
      </c>
      <c r="K220" s="74">
        <v>40214</v>
      </c>
    </row>
    <row r="221" spans="1:11" x14ac:dyDescent="0.25">
      <c r="A221" s="73" t="s">
        <v>477</v>
      </c>
      <c r="B221" s="67" t="s">
        <v>476</v>
      </c>
      <c r="C221" s="67" t="s">
        <v>1122</v>
      </c>
      <c r="D221" s="67" t="s">
        <v>957</v>
      </c>
      <c r="E221" s="67" t="s">
        <v>1120</v>
      </c>
      <c r="F221" s="67" t="s">
        <v>402</v>
      </c>
      <c r="G221" s="67" t="s">
        <v>16</v>
      </c>
      <c r="H221" s="67" t="s">
        <v>683</v>
      </c>
      <c r="I221" s="67" t="s">
        <v>684</v>
      </c>
      <c r="J221" s="68">
        <v>29259</v>
      </c>
      <c r="K221" s="74">
        <v>40217</v>
      </c>
    </row>
    <row r="222" spans="1:11" x14ac:dyDescent="0.25">
      <c r="A222" s="73" t="s">
        <v>479</v>
      </c>
      <c r="B222" s="67" t="s">
        <v>478</v>
      </c>
      <c r="C222" s="67" t="s">
        <v>1123</v>
      </c>
      <c r="D222" s="67" t="s">
        <v>1124</v>
      </c>
      <c r="E222" s="67" t="s">
        <v>1120</v>
      </c>
      <c r="F222" s="67" t="s">
        <v>402</v>
      </c>
      <c r="G222" s="67" t="s">
        <v>16</v>
      </c>
      <c r="H222" s="67" t="s">
        <v>683</v>
      </c>
      <c r="I222" s="67" t="s">
        <v>689</v>
      </c>
      <c r="J222" s="68">
        <v>37244</v>
      </c>
      <c r="K222" s="74">
        <v>42357</v>
      </c>
    </row>
    <row r="223" spans="1:11" x14ac:dyDescent="0.25">
      <c r="A223" s="73" t="s">
        <v>481</v>
      </c>
      <c r="B223" s="67" t="s">
        <v>480</v>
      </c>
      <c r="C223" s="67" t="s">
        <v>1125</v>
      </c>
      <c r="D223" s="67" t="s">
        <v>1126</v>
      </c>
      <c r="E223" s="67" t="s">
        <v>1120</v>
      </c>
      <c r="F223" s="67" t="s">
        <v>402</v>
      </c>
      <c r="G223" s="67" t="s">
        <v>16</v>
      </c>
      <c r="H223" s="67" t="s">
        <v>683</v>
      </c>
      <c r="I223" s="67" t="s">
        <v>684</v>
      </c>
      <c r="J223" s="68">
        <v>29259</v>
      </c>
      <c r="K223" s="74">
        <v>40217</v>
      </c>
    </row>
    <row r="224" spans="1:11" x14ac:dyDescent="0.25">
      <c r="A224" s="73" t="s">
        <v>483</v>
      </c>
      <c r="B224" s="67" t="s">
        <v>482</v>
      </c>
      <c r="C224" s="67" t="s">
        <v>1127</v>
      </c>
      <c r="D224" s="67" t="s">
        <v>1128</v>
      </c>
      <c r="E224" s="67" t="s">
        <v>1120</v>
      </c>
      <c r="F224" s="67" t="s">
        <v>402</v>
      </c>
      <c r="G224" s="67" t="s">
        <v>16</v>
      </c>
      <c r="H224" s="67" t="s">
        <v>683</v>
      </c>
      <c r="I224" s="67" t="s">
        <v>684</v>
      </c>
      <c r="J224" s="68">
        <v>36661</v>
      </c>
      <c r="K224" s="74">
        <v>41044</v>
      </c>
    </row>
    <row r="225" spans="1:11" x14ac:dyDescent="0.25">
      <c r="A225" s="73" t="s">
        <v>485</v>
      </c>
      <c r="B225" s="67" t="s">
        <v>484</v>
      </c>
      <c r="C225" s="67" t="s">
        <v>1129</v>
      </c>
      <c r="D225" s="67" t="s">
        <v>1130</v>
      </c>
      <c r="E225" s="67" t="s">
        <v>1120</v>
      </c>
      <c r="F225" s="67" t="s">
        <v>402</v>
      </c>
      <c r="G225" s="67" t="s">
        <v>16</v>
      </c>
      <c r="H225" s="67" t="s">
        <v>683</v>
      </c>
      <c r="I225" s="67" t="s">
        <v>684</v>
      </c>
      <c r="J225" s="68">
        <v>36970</v>
      </c>
      <c r="K225" s="74">
        <v>42083</v>
      </c>
    </row>
    <row r="226" spans="1:11" x14ac:dyDescent="0.25">
      <c r="A226" s="73" t="s">
        <v>487</v>
      </c>
      <c r="B226" s="67" t="s">
        <v>486</v>
      </c>
      <c r="C226" s="67" t="s">
        <v>1131</v>
      </c>
      <c r="D226" s="67" t="s">
        <v>880</v>
      </c>
      <c r="E226" s="67" t="s">
        <v>1120</v>
      </c>
      <c r="F226" s="67" t="s">
        <v>402</v>
      </c>
      <c r="G226" s="67" t="s">
        <v>16</v>
      </c>
      <c r="H226" s="67" t="s">
        <v>683</v>
      </c>
      <c r="I226" s="67" t="s">
        <v>689</v>
      </c>
      <c r="J226" s="68">
        <v>29533</v>
      </c>
      <c r="K226" s="74">
        <v>40490</v>
      </c>
    </row>
    <row r="227" spans="1:11" x14ac:dyDescent="0.25">
      <c r="A227" s="73" t="s">
        <v>489</v>
      </c>
      <c r="B227" s="67" t="s">
        <v>488</v>
      </c>
      <c r="C227" s="67" t="s">
        <v>1132</v>
      </c>
      <c r="D227" s="67" t="s">
        <v>1133</v>
      </c>
      <c r="E227" s="67" t="s">
        <v>1120</v>
      </c>
      <c r="F227" s="67" t="s">
        <v>402</v>
      </c>
      <c r="G227" s="67" t="s">
        <v>16</v>
      </c>
      <c r="H227" s="67" t="s">
        <v>683</v>
      </c>
      <c r="I227" s="67" t="s">
        <v>684</v>
      </c>
      <c r="J227" s="68">
        <v>35986</v>
      </c>
      <c r="K227" s="74">
        <v>41830</v>
      </c>
    </row>
    <row r="228" spans="1:11" x14ac:dyDescent="0.25">
      <c r="A228" s="73" t="s">
        <v>491</v>
      </c>
      <c r="B228" s="67" t="s">
        <v>490</v>
      </c>
      <c r="C228" s="67" t="s">
        <v>1134</v>
      </c>
      <c r="D228" s="67" t="s">
        <v>1135</v>
      </c>
      <c r="E228" s="67" t="s">
        <v>1120</v>
      </c>
      <c r="F228" s="67" t="s">
        <v>402</v>
      </c>
      <c r="G228" s="67" t="s">
        <v>16</v>
      </c>
      <c r="H228" s="67" t="s">
        <v>683</v>
      </c>
      <c r="I228" s="67" t="s">
        <v>689</v>
      </c>
      <c r="J228" s="68">
        <v>33849</v>
      </c>
      <c r="K228" s="74">
        <v>42615</v>
      </c>
    </row>
    <row r="229" spans="1:11" x14ac:dyDescent="0.25">
      <c r="A229" s="73" t="s">
        <v>493</v>
      </c>
      <c r="B229" s="67" t="s">
        <v>492</v>
      </c>
      <c r="C229" s="67" t="s">
        <v>1136</v>
      </c>
      <c r="D229" s="67" t="s">
        <v>771</v>
      </c>
      <c r="E229" s="67" t="s">
        <v>1120</v>
      </c>
      <c r="F229" s="67" t="s">
        <v>402</v>
      </c>
      <c r="G229" s="67" t="s">
        <v>16</v>
      </c>
      <c r="H229" s="67" t="s">
        <v>683</v>
      </c>
      <c r="I229" s="67" t="s">
        <v>684</v>
      </c>
      <c r="J229" s="68">
        <v>31223</v>
      </c>
      <c r="K229" s="74">
        <v>40719</v>
      </c>
    </row>
    <row r="230" spans="1:11" x14ac:dyDescent="0.25">
      <c r="A230" s="73" t="s">
        <v>495</v>
      </c>
      <c r="B230" s="67" t="s">
        <v>494</v>
      </c>
      <c r="C230" s="67" t="s">
        <v>1137</v>
      </c>
      <c r="D230" s="67" t="s">
        <v>1138</v>
      </c>
      <c r="E230" s="67" t="s">
        <v>1139</v>
      </c>
      <c r="F230" s="67" t="s">
        <v>402</v>
      </c>
      <c r="G230" s="67" t="s">
        <v>404</v>
      </c>
      <c r="H230" s="67" t="s">
        <v>683</v>
      </c>
      <c r="I230" s="67" t="s">
        <v>689</v>
      </c>
      <c r="J230" s="68">
        <v>36204</v>
      </c>
      <c r="K230" s="74">
        <v>41318</v>
      </c>
    </row>
    <row r="231" spans="1:11" x14ac:dyDescent="0.25">
      <c r="A231" s="73" t="s">
        <v>498</v>
      </c>
      <c r="B231" s="67" t="s">
        <v>497</v>
      </c>
      <c r="C231" s="67" t="s">
        <v>1140</v>
      </c>
      <c r="D231" s="67" t="s">
        <v>1141</v>
      </c>
      <c r="E231" s="67" t="s">
        <v>1139</v>
      </c>
      <c r="F231" s="67" t="s">
        <v>402</v>
      </c>
      <c r="G231" s="67" t="s">
        <v>404</v>
      </c>
      <c r="H231" s="67" t="s">
        <v>683</v>
      </c>
      <c r="I231" s="67" t="s">
        <v>684</v>
      </c>
      <c r="J231" s="68">
        <v>36768</v>
      </c>
      <c r="K231" s="74">
        <v>42977</v>
      </c>
    </row>
    <row r="232" spans="1:11" x14ac:dyDescent="0.25">
      <c r="A232" s="73" t="s">
        <v>500</v>
      </c>
      <c r="B232" s="67" t="s">
        <v>499</v>
      </c>
      <c r="C232" s="67" t="s">
        <v>1142</v>
      </c>
      <c r="D232" s="67" t="s">
        <v>1143</v>
      </c>
      <c r="E232" s="67" t="s">
        <v>1139</v>
      </c>
      <c r="F232" s="67" t="s">
        <v>402</v>
      </c>
      <c r="G232" s="67" t="s">
        <v>404</v>
      </c>
      <c r="H232" s="67" t="s">
        <v>683</v>
      </c>
      <c r="I232" s="67" t="s">
        <v>689</v>
      </c>
      <c r="J232" s="68">
        <v>29499</v>
      </c>
      <c r="K232" s="74">
        <v>40456</v>
      </c>
    </row>
    <row r="233" spans="1:11" x14ac:dyDescent="0.25">
      <c r="A233" s="73" t="s">
        <v>502</v>
      </c>
      <c r="B233" s="67" t="s">
        <v>1144</v>
      </c>
      <c r="C233" s="67" t="s">
        <v>1145</v>
      </c>
      <c r="D233" s="67" t="s">
        <v>1146</v>
      </c>
      <c r="E233" s="67" t="s">
        <v>1139</v>
      </c>
      <c r="F233" s="67" t="s">
        <v>402</v>
      </c>
      <c r="G233" s="67" t="s">
        <v>404</v>
      </c>
      <c r="H233" s="67" t="s">
        <v>683</v>
      </c>
      <c r="I233" s="67" t="s">
        <v>689</v>
      </c>
      <c r="J233" s="68">
        <v>36147</v>
      </c>
      <c r="K233" s="74">
        <v>41991</v>
      </c>
    </row>
    <row r="234" spans="1:11" x14ac:dyDescent="0.25">
      <c r="A234" s="73" t="s">
        <v>504</v>
      </c>
      <c r="B234" s="67" t="s">
        <v>503</v>
      </c>
      <c r="C234" s="67" t="s">
        <v>1147</v>
      </c>
      <c r="D234" s="67" t="s">
        <v>1082</v>
      </c>
      <c r="E234" s="67" t="s">
        <v>1139</v>
      </c>
      <c r="F234" s="67" t="s">
        <v>402</v>
      </c>
      <c r="G234" s="67" t="s">
        <v>404</v>
      </c>
      <c r="H234" s="67" t="s">
        <v>683</v>
      </c>
      <c r="I234" s="67" t="s">
        <v>684</v>
      </c>
      <c r="J234" s="68">
        <v>33622</v>
      </c>
      <c r="K234" s="74">
        <v>42388</v>
      </c>
    </row>
    <row r="235" spans="1:11" x14ac:dyDescent="0.25">
      <c r="A235" s="73" t="s">
        <v>506</v>
      </c>
      <c r="B235" s="67" t="s">
        <v>505</v>
      </c>
      <c r="C235" s="67" t="s">
        <v>1148</v>
      </c>
      <c r="D235" s="67" t="s">
        <v>1149</v>
      </c>
      <c r="E235" s="67" t="s">
        <v>1139</v>
      </c>
      <c r="F235" s="67" t="s">
        <v>402</v>
      </c>
      <c r="G235" s="67" t="s">
        <v>404</v>
      </c>
      <c r="H235" s="67" t="s">
        <v>683</v>
      </c>
      <c r="I235" s="67" t="s">
        <v>689</v>
      </c>
      <c r="J235" s="68">
        <v>35986</v>
      </c>
      <c r="K235" s="74">
        <v>41830</v>
      </c>
    </row>
    <row r="236" spans="1:11" x14ac:dyDescent="0.25">
      <c r="A236" s="73" t="s">
        <v>508</v>
      </c>
      <c r="B236" s="67" t="s">
        <v>507</v>
      </c>
      <c r="C236" s="67" t="s">
        <v>1150</v>
      </c>
      <c r="D236" s="67" t="s">
        <v>980</v>
      </c>
      <c r="E236" s="67" t="s">
        <v>1139</v>
      </c>
      <c r="F236" s="67" t="s">
        <v>402</v>
      </c>
      <c r="G236" s="67" t="s">
        <v>404</v>
      </c>
      <c r="H236" s="67" t="s">
        <v>683</v>
      </c>
      <c r="I236" s="67" t="s">
        <v>684</v>
      </c>
      <c r="J236" s="68">
        <v>35986</v>
      </c>
      <c r="K236" s="74">
        <v>41830</v>
      </c>
    </row>
    <row r="237" spans="1:11" x14ac:dyDescent="0.25">
      <c r="A237" s="73" t="s">
        <v>510</v>
      </c>
      <c r="B237" s="67" t="s">
        <v>509</v>
      </c>
      <c r="C237" s="67" t="s">
        <v>1151</v>
      </c>
      <c r="D237" s="67" t="s">
        <v>1152</v>
      </c>
      <c r="E237" s="67" t="s">
        <v>1139</v>
      </c>
      <c r="F237" s="67" t="s">
        <v>402</v>
      </c>
      <c r="G237" s="67" t="s">
        <v>404</v>
      </c>
      <c r="H237" s="67" t="s">
        <v>683</v>
      </c>
      <c r="I237" s="67" t="s">
        <v>684</v>
      </c>
      <c r="J237" s="68">
        <v>35986</v>
      </c>
      <c r="K237" s="74">
        <v>41830</v>
      </c>
    </row>
    <row r="238" spans="1:11" x14ac:dyDescent="0.25">
      <c r="A238" s="73" t="s">
        <v>512</v>
      </c>
      <c r="B238" s="67" t="s">
        <v>511</v>
      </c>
      <c r="C238" s="67" t="s">
        <v>1153</v>
      </c>
      <c r="D238" s="67" t="s">
        <v>1154</v>
      </c>
      <c r="E238" s="67" t="s">
        <v>1139</v>
      </c>
      <c r="F238" s="67" t="s">
        <v>402</v>
      </c>
      <c r="G238" s="67" t="s">
        <v>404</v>
      </c>
      <c r="H238" s="67" t="s">
        <v>683</v>
      </c>
      <c r="I238" s="67" t="s">
        <v>684</v>
      </c>
      <c r="J238" s="68">
        <v>35986</v>
      </c>
      <c r="K238" s="74">
        <v>41830</v>
      </c>
    </row>
    <row r="239" spans="1:11" x14ac:dyDescent="0.25">
      <c r="A239" s="73" t="s">
        <v>514</v>
      </c>
      <c r="B239" s="67" t="s">
        <v>513</v>
      </c>
      <c r="C239" s="67" t="s">
        <v>1155</v>
      </c>
      <c r="D239" s="67" t="s">
        <v>1156</v>
      </c>
      <c r="E239" s="67" t="s">
        <v>1139</v>
      </c>
      <c r="F239" s="67" t="s">
        <v>402</v>
      </c>
      <c r="G239" s="67" t="s">
        <v>404</v>
      </c>
      <c r="H239" s="67" t="s">
        <v>683</v>
      </c>
      <c r="I239" s="67" t="s">
        <v>684</v>
      </c>
      <c r="J239" s="68">
        <v>35986</v>
      </c>
      <c r="K239" s="74">
        <v>41830</v>
      </c>
    </row>
    <row r="240" spans="1:11" x14ac:dyDescent="0.25">
      <c r="A240" s="73" t="s">
        <v>516</v>
      </c>
      <c r="B240" s="67" t="s">
        <v>515</v>
      </c>
      <c r="C240" s="67" t="s">
        <v>1157</v>
      </c>
      <c r="D240" s="67" t="s">
        <v>1158</v>
      </c>
      <c r="E240" s="67" t="s">
        <v>1139</v>
      </c>
      <c r="F240" s="67" t="s">
        <v>402</v>
      </c>
      <c r="G240" s="67" t="s">
        <v>404</v>
      </c>
      <c r="H240" s="67" t="s">
        <v>683</v>
      </c>
      <c r="I240" s="67" t="s">
        <v>689</v>
      </c>
      <c r="J240" s="68">
        <v>35986</v>
      </c>
      <c r="K240" s="74">
        <v>41830</v>
      </c>
    </row>
    <row r="241" spans="1:11" x14ac:dyDescent="0.25">
      <c r="A241" s="73" t="s">
        <v>518</v>
      </c>
      <c r="B241" s="67" t="s">
        <v>517</v>
      </c>
      <c r="C241" s="67" t="s">
        <v>1159</v>
      </c>
      <c r="D241" s="67" t="s">
        <v>1160</v>
      </c>
      <c r="E241" s="67" t="s">
        <v>1139</v>
      </c>
      <c r="F241" s="67" t="s">
        <v>402</v>
      </c>
      <c r="G241" s="67" t="s">
        <v>404</v>
      </c>
      <c r="H241" s="67" t="s">
        <v>683</v>
      </c>
      <c r="I241" s="67" t="s">
        <v>684</v>
      </c>
      <c r="J241" s="68">
        <v>35986</v>
      </c>
      <c r="K241" s="74">
        <v>41830</v>
      </c>
    </row>
    <row r="242" spans="1:11" x14ac:dyDescent="0.25">
      <c r="A242" s="73" t="s">
        <v>520</v>
      </c>
      <c r="B242" s="67" t="s">
        <v>519</v>
      </c>
      <c r="C242" s="67" t="s">
        <v>1161</v>
      </c>
      <c r="D242" s="67" t="s">
        <v>1162</v>
      </c>
      <c r="E242" s="67" t="s">
        <v>1139</v>
      </c>
      <c r="F242" s="67" t="s">
        <v>402</v>
      </c>
      <c r="G242" s="67" t="s">
        <v>404</v>
      </c>
      <c r="H242" s="67" t="s">
        <v>683</v>
      </c>
      <c r="I242" s="67" t="s">
        <v>684</v>
      </c>
      <c r="J242" s="68">
        <v>35986</v>
      </c>
      <c r="K242" s="74">
        <v>41830</v>
      </c>
    </row>
    <row r="243" spans="1:11" x14ac:dyDescent="0.25">
      <c r="A243" s="73" t="s">
        <v>522</v>
      </c>
      <c r="B243" s="67" t="s">
        <v>521</v>
      </c>
      <c r="C243" s="67" t="s">
        <v>1163</v>
      </c>
      <c r="D243" s="67" t="s">
        <v>1027</v>
      </c>
      <c r="E243" s="67" t="s">
        <v>1164</v>
      </c>
      <c r="F243" s="67" t="s">
        <v>402</v>
      </c>
      <c r="G243" s="67" t="s">
        <v>16</v>
      </c>
      <c r="H243" s="67" t="s">
        <v>683</v>
      </c>
      <c r="I243" s="67" t="s">
        <v>689</v>
      </c>
      <c r="J243" s="68">
        <v>35986</v>
      </c>
      <c r="K243" s="74">
        <v>41830</v>
      </c>
    </row>
    <row r="244" spans="1:11" x14ac:dyDescent="0.25">
      <c r="A244" s="73" t="s">
        <v>525</v>
      </c>
      <c r="B244" s="67" t="s">
        <v>524</v>
      </c>
      <c r="C244" s="67" t="s">
        <v>1165</v>
      </c>
      <c r="D244" s="67" t="s">
        <v>735</v>
      </c>
      <c r="E244" s="67" t="s">
        <v>1164</v>
      </c>
      <c r="F244" s="67" t="s">
        <v>402</v>
      </c>
      <c r="G244" s="67" t="s">
        <v>16</v>
      </c>
      <c r="H244" s="67" t="s">
        <v>683</v>
      </c>
      <c r="I244" s="67" t="s">
        <v>684</v>
      </c>
      <c r="J244" s="68">
        <v>35986</v>
      </c>
      <c r="K244" s="74">
        <v>41830</v>
      </c>
    </row>
    <row r="245" spans="1:11" x14ac:dyDescent="0.25">
      <c r="A245" s="73" t="s">
        <v>527</v>
      </c>
      <c r="B245" s="67" t="s">
        <v>526</v>
      </c>
      <c r="C245" s="67" t="s">
        <v>1166</v>
      </c>
      <c r="D245" s="67" t="s">
        <v>1167</v>
      </c>
      <c r="E245" s="67" t="s">
        <v>1164</v>
      </c>
      <c r="F245" s="67" t="s">
        <v>402</v>
      </c>
      <c r="G245" s="67" t="s">
        <v>16</v>
      </c>
      <c r="H245" s="67" t="s">
        <v>683</v>
      </c>
      <c r="I245" s="67" t="s">
        <v>689</v>
      </c>
      <c r="J245" s="68">
        <v>36732</v>
      </c>
      <c r="K245" s="74">
        <v>42941</v>
      </c>
    </row>
    <row r="246" spans="1:11" x14ac:dyDescent="0.25">
      <c r="A246" s="73" t="s">
        <v>529</v>
      </c>
      <c r="B246" s="67" t="s">
        <v>528</v>
      </c>
      <c r="C246" s="67" t="s">
        <v>1168</v>
      </c>
      <c r="D246" s="67" t="s">
        <v>1130</v>
      </c>
      <c r="E246" s="67" t="s">
        <v>1164</v>
      </c>
      <c r="F246" s="67" t="s">
        <v>402</v>
      </c>
      <c r="G246" s="67" t="s">
        <v>16</v>
      </c>
      <c r="H246" s="67" t="s">
        <v>683</v>
      </c>
      <c r="I246" s="67" t="s">
        <v>684</v>
      </c>
      <c r="J246" s="68">
        <v>33771</v>
      </c>
      <c r="K246" s="74">
        <v>42537</v>
      </c>
    </row>
    <row r="247" spans="1:11" x14ac:dyDescent="0.25">
      <c r="A247" s="73" t="s">
        <v>531</v>
      </c>
      <c r="B247" s="67" t="s">
        <v>530</v>
      </c>
      <c r="C247" s="67" t="s">
        <v>1169</v>
      </c>
      <c r="D247" s="67" t="s">
        <v>990</v>
      </c>
      <c r="E247" s="67" t="s">
        <v>1164</v>
      </c>
      <c r="F247" s="67" t="s">
        <v>402</v>
      </c>
      <c r="G247" s="67" t="s">
        <v>16</v>
      </c>
      <c r="H247" s="67" t="s">
        <v>683</v>
      </c>
      <c r="I247" s="67" t="s">
        <v>684</v>
      </c>
      <c r="J247" s="68">
        <v>29259</v>
      </c>
      <c r="K247" s="74">
        <v>40217</v>
      </c>
    </row>
    <row r="248" spans="1:11" x14ac:dyDescent="0.25">
      <c r="A248" s="73" t="s">
        <v>533</v>
      </c>
      <c r="B248" s="67" t="s">
        <v>532</v>
      </c>
      <c r="C248" s="67" t="s">
        <v>1170</v>
      </c>
      <c r="D248" s="67" t="s">
        <v>1171</v>
      </c>
      <c r="E248" s="67" t="s">
        <v>1164</v>
      </c>
      <c r="F248" s="67" t="s">
        <v>402</v>
      </c>
      <c r="G248" s="67" t="s">
        <v>16</v>
      </c>
      <c r="H248" s="67" t="s">
        <v>683</v>
      </c>
      <c r="I248" s="67" t="s">
        <v>684</v>
      </c>
      <c r="J248" s="68">
        <v>37244</v>
      </c>
      <c r="K248" s="74">
        <v>42357</v>
      </c>
    </row>
    <row r="249" spans="1:11" x14ac:dyDescent="0.25">
      <c r="A249" s="73" t="s">
        <v>535</v>
      </c>
      <c r="B249" s="67" t="s">
        <v>534</v>
      </c>
      <c r="C249" s="67" t="s">
        <v>1172</v>
      </c>
      <c r="D249" s="67" t="s">
        <v>1173</v>
      </c>
      <c r="E249" s="67" t="s">
        <v>1164</v>
      </c>
      <c r="F249" s="67" t="s">
        <v>402</v>
      </c>
      <c r="G249" s="67" t="s">
        <v>16</v>
      </c>
      <c r="H249" s="67" t="s">
        <v>683</v>
      </c>
      <c r="I249" s="67" t="s">
        <v>684</v>
      </c>
      <c r="J249" s="68">
        <v>36352</v>
      </c>
      <c r="K249" s="74">
        <v>41466</v>
      </c>
    </row>
    <row r="250" spans="1:11" x14ac:dyDescent="0.25">
      <c r="A250" s="73" t="s">
        <v>537</v>
      </c>
      <c r="B250" s="67" t="s">
        <v>536</v>
      </c>
      <c r="C250" s="67" t="s">
        <v>1174</v>
      </c>
      <c r="D250" s="67" t="s">
        <v>1175</v>
      </c>
      <c r="E250" s="67" t="s">
        <v>1164</v>
      </c>
      <c r="F250" s="67" t="s">
        <v>402</v>
      </c>
      <c r="G250" s="67" t="s">
        <v>16</v>
      </c>
      <c r="H250" s="67" t="s">
        <v>683</v>
      </c>
      <c r="I250" s="67" t="s">
        <v>684</v>
      </c>
      <c r="J250" s="68">
        <v>31071</v>
      </c>
      <c r="K250" s="74">
        <v>40567</v>
      </c>
    </row>
    <row r="251" spans="1:11" x14ac:dyDescent="0.25">
      <c r="A251" s="73" t="s">
        <v>1176</v>
      </c>
      <c r="B251" s="67" t="s">
        <v>682</v>
      </c>
      <c r="C251" s="67" t="s">
        <v>1177</v>
      </c>
      <c r="D251" s="67" t="s">
        <v>1178</v>
      </c>
      <c r="E251" s="67" t="s">
        <v>15</v>
      </c>
      <c r="F251" s="67" t="s">
        <v>1179</v>
      </c>
      <c r="G251" s="67" t="s">
        <v>16</v>
      </c>
      <c r="H251" s="67" t="s">
        <v>9</v>
      </c>
      <c r="I251" s="67" t="s">
        <v>689</v>
      </c>
      <c r="J251" s="68">
        <v>36656</v>
      </c>
      <c r="K251" s="74">
        <v>42865</v>
      </c>
    </row>
    <row r="252" spans="1:11" x14ac:dyDescent="0.25">
      <c r="A252" s="73" t="s">
        <v>1180</v>
      </c>
      <c r="B252" s="67" t="s">
        <v>706</v>
      </c>
      <c r="C252" s="67" t="s">
        <v>1181</v>
      </c>
      <c r="D252" s="67" t="s">
        <v>1182</v>
      </c>
      <c r="E252" s="67" t="s">
        <v>15</v>
      </c>
      <c r="F252" s="67" t="s">
        <v>1179</v>
      </c>
      <c r="G252" s="67" t="s">
        <v>16</v>
      </c>
      <c r="H252" s="67" t="s">
        <v>9</v>
      </c>
      <c r="I252" s="67" t="s">
        <v>689</v>
      </c>
      <c r="J252" s="68">
        <v>36071</v>
      </c>
      <c r="K252" s="74">
        <v>41915</v>
      </c>
    </row>
    <row r="253" spans="1:11" x14ac:dyDescent="0.25">
      <c r="A253" s="73" t="s">
        <v>1183</v>
      </c>
      <c r="B253" s="67" t="s">
        <v>728</v>
      </c>
      <c r="C253" s="67" t="s">
        <v>1184</v>
      </c>
      <c r="D253" s="67" t="s">
        <v>1185</v>
      </c>
      <c r="E253" s="67" t="s">
        <v>15</v>
      </c>
      <c r="F253" s="67" t="s">
        <v>1179</v>
      </c>
      <c r="G253" s="67" t="s">
        <v>16</v>
      </c>
      <c r="H253" s="67" t="s">
        <v>9</v>
      </c>
      <c r="I253" s="67" t="s">
        <v>684</v>
      </c>
      <c r="J253" s="68">
        <v>36968</v>
      </c>
      <c r="K253" s="74">
        <v>42081</v>
      </c>
    </row>
    <row r="254" spans="1:11" x14ac:dyDescent="0.25">
      <c r="A254" s="73" t="s">
        <v>1186</v>
      </c>
      <c r="B254" s="67" t="s">
        <v>751</v>
      </c>
      <c r="C254" s="67" t="s">
        <v>1187</v>
      </c>
      <c r="D254" s="67" t="s">
        <v>1188</v>
      </c>
      <c r="E254" s="67" t="s">
        <v>15</v>
      </c>
      <c r="F254" s="67" t="s">
        <v>1179</v>
      </c>
      <c r="G254" s="67" t="s">
        <v>16</v>
      </c>
      <c r="H254" s="67" t="s">
        <v>9</v>
      </c>
      <c r="I254" s="67" t="s">
        <v>684</v>
      </c>
      <c r="J254" s="68">
        <v>33913</v>
      </c>
      <c r="K254" s="74">
        <v>42679</v>
      </c>
    </row>
    <row r="255" spans="1:11" x14ac:dyDescent="0.25">
      <c r="A255" s="73" t="s">
        <v>1189</v>
      </c>
      <c r="B255" s="67" t="s">
        <v>757</v>
      </c>
      <c r="C255" s="67" t="s">
        <v>1190</v>
      </c>
      <c r="D255" s="67" t="s">
        <v>1191</v>
      </c>
      <c r="E255" s="67" t="s">
        <v>15</v>
      </c>
      <c r="F255" s="67" t="s">
        <v>1179</v>
      </c>
      <c r="G255" s="67" t="s">
        <v>16</v>
      </c>
      <c r="H255" s="67" t="s">
        <v>9</v>
      </c>
      <c r="I255" s="67" t="s">
        <v>684</v>
      </c>
      <c r="J255" s="68">
        <v>36495</v>
      </c>
      <c r="K255" s="74">
        <v>41609</v>
      </c>
    </row>
    <row r="256" spans="1:11" x14ac:dyDescent="0.25">
      <c r="A256" s="73" t="s">
        <v>1192</v>
      </c>
      <c r="B256" s="67" t="s">
        <v>797</v>
      </c>
      <c r="C256" s="67" t="s">
        <v>1193</v>
      </c>
      <c r="D256" s="67" t="s">
        <v>1194</v>
      </c>
      <c r="E256" s="67" t="s">
        <v>15</v>
      </c>
      <c r="F256" s="67" t="s">
        <v>1179</v>
      </c>
      <c r="G256" s="67" t="s">
        <v>16</v>
      </c>
      <c r="H256" s="67" t="s">
        <v>9</v>
      </c>
      <c r="I256" s="67" t="s">
        <v>689</v>
      </c>
      <c r="J256" s="68">
        <v>36570</v>
      </c>
      <c r="K256" s="74">
        <v>40953</v>
      </c>
    </row>
    <row r="257" spans="1:11" x14ac:dyDescent="0.25">
      <c r="A257" s="73" t="s">
        <v>1195</v>
      </c>
      <c r="B257" s="67" t="s">
        <v>822</v>
      </c>
      <c r="C257" s="67" t="s">
        <v>1196</v>
      </c>
      <c r="D257" s="67" t="s">
        <v>1197</v>
      </c>
      <c r="E257" s="67" t="s">
        <v>823</v>
      </c>
      <c r="F257" s="67" t="s">
        <v>1179</v>
      </c>
      <c r="G257" s="67" t="s">
        <v>5</v>
      </c>
      <c r="H257" s="67" t="s">
        <v>9</v>
      </c>
      <c r="I257" s="67" t="s">
        <v>689</v>
      </c>
      <c r="J257" s="68">
        <v>36791</v>
      </c>
      <c r="K257" s="74">
        <v>43000</v>
      </c>
    </row>
    <row r="258" spans="1:11" x14ac:dyDescent="0.25">
      <c r="A258" s="73" t="s">
        <v>1198</v>
      </c>
      <c r="B258" s="67" t="s">
        <v>830</v>
      </c>
      <c r="C258" s="67" t="s">
        <v>1199</v>
      </c>
      <c r="D258" s="67" t="s">
        <v>1200</v>
      </c>
      <c r="E258" s="67" t="s">
        <v>823</v>
      </c>
      <c r="F258" s="67" t="s">
        <v>1179</v>
      </c>
      <c r="G258" s="67" t="s">
        <v>5</v>
      </c>
      <c r="H258" s="67" t="s">
        <v>9</v>
      </c>
      <c r="I258" s="67" t="s">
        <v>684</v>
      </c>
      <c r="J258" s="68">
        <v>35964</v>
      </c>
      <c r="K258" s="74">
        <v>41808</v>
      </c>
    </row>
    <row r="259" spans="1:11" x14ac:dyDescent="0.25">
      <c r="A259" s="73" t="s">
        <v>1201</v>
      </c>
      <c r="B259" s="67" t="s">
        <v>837</v>
      </c>
      <c r="C259" s="67" t="s">
        <v>1202</v>
      </c>
      <c r="D259" s="67" t="s">
        <v>1182</v>
      </c>
      <c r="E259" s="67" t="s">
        <v>823</v>
      </c>
      <c r="F259" s="67" t="s">
        <v>1179</v>
      </c>
      <c r="G259" s="67" t="s">
        <v>5</v>
      </c>
      <c r="H259" s="67" t="s">
        <v>9</v>
      </c>
      <c r="I259" s="67" t="s">
        <v>684</v>
      </c>
      <c r="J259" s="68">
        <v>31358</v>
      </c>
      <c r="K259" s="74">
        <v>40854</v>
      </c>
    </row>
    <row r="260" spans="1:11" x14ac:dyDescent="0.25">
      <c r="A260" s="73" t="s">
        <v>1203</v>
      </c>
      <c r="B260" s="67" t="s">
        <v>862</v>
      </c>
      <c r="C260" s="67" t="s">
        <v>1204</v>
      </c>
      <c r="D260" s="67" t="s">
        <v>1205</v>
      </c>
      <c r="E260" s="67" t="s">
        <v>823</v>
      </c>
      <c r="F260" s="67" t="s">
        <v>1179</v>
      </c>
      <c r="G260" s="67" t="s">
        <v>5</v>
      </c>
      <c r="H260" s="67" t="s">
        <v>9</v>
      </c>
      <c r="I260" s="67" t="s">
        <v>684</v>
      </c>
      <c r="J260" s="68">
        <v>36575</v>
      </c>
      <c r="K260" s="74">
        <v>42785</v>
      </c>
    </row>
    <row r="261" spans="1:11" x14ac:dyDescent="0.25">
      <c r="A261" s="73" t="s">
        <v>1206</v>
      </c>
      <c r="B261" s="67" t="s">
        <v>912</v>
      </c>
      <c r="C261" s="67" t="s">
        <v>1207</v>
      </c>
      <c r="D261" s="67" t="s">
        <v>1188</v>
      </c>
      <c r="E261" s="67" t="s">
        <v>238</v>
      </c>
      <c r="F261" s="67" t="s">
        <v>1179</v>
      </c>
      <c r="G261" s="67" t="s">
        <v>239</v>
      </c>
      <c r="H261" s="67" t="s">
        <v>9</v>
      </c>
      <c r="I261" s="67" t="s">
        <v>689</v>
      </c>
      <c r="J261" s="68">
        <v>37131</v>
      </c>
      <c r="K261" s="74">
        <v>42244</v>
      </c>
    </row>
    <row r="262" spans="1:11" x14ac:dyDescent="0.25">
      <c r="A262" s="73" t="s">
        <v>1208</v>
      </c>
      <c r="B262" s="67" t="s">
        <v>938</v>
      </c>
      <c r="C262" s="67" t="s">
        <v>1209</v>
      </c>
      <c r="D262" s="67" t="s">
        <v>1210</v>
      </c>
      <c r="E262" s="67" t="s">
        <v>238</v>
      </c>
      <c r="F262" s="67" t="s">
        <v>1179</v>
      </c>
      <c r="G262" s="67" t="s">
        <v>239</v>
      </c>
      <c r="H262" s="67" t="s">
        <v>9</v>
      </c>
      <c r="I262" s="67" t="s">
        <v>684</v>
      </c>
      <c r="J262" s="68">
        <v>36454</v>
      </c>
      <c r="K262" s="74">
        <v>41568</v>
      </c>
    </row>
    <row r="263" spans="1:11" x14ac:dyDescent="0.25">
      <c r="A263" s="73" t="s">
        <v>1211</v>
      </c>
      <c r="B263" s="67" t="s">
        <v>958</v>
      </c>
      <c r="C263" s="67" t="s">
        <v>1212</v>
      </c>
      <c r="D263" s="67" t="s">
        <v>1193</v>
      </c>
      <c r="E263" s="67" t="s">
        <v>238</v>
      </c>
      <c r="F263" s="67" t="s">
        <v>1179</v>
      </c>
      <c r="G263" s="67" t="s">
        <v>239</v>
      </c>
      <c r="H263" s="67" t="s">
        <v>9</v>
      </c>
      <c r="I263" s="67" t="s">
        <v>689</v>
      </c>
      <c r="J263" s="68">
        <v>36622</v>
      </c>
      <c r="K263" s="74">
        <v>42831</v>
      </c>
    </row>
    <row r="264" spans="1:11" x14ac:dyDescent="0.25">
      <c r="A264" s="73" t="s">
        <v>1213</v>
      </c>
      <c r="B264" s="67" t="s">
        <v>972</v>
      </c>
      <c r="C264" s="67" t="s">
        <v>1214</v>
      </c>
      <c r="D264" s="67" t="s">
        <v>1215</v>
      </c>
      <c r="E264" s="67" t="s">
        <v>238</v>
      </c>
      <c r="F264" s="67" t="s">
        <v>1179</v>
      </c>
      <c r="G264" s="67" t="s">
        <v>239</v>
      </c>
      <c r="H264" s="67" t="s">
        <v>9</v>
      </c>
      <c r="I264" s="67" t="s">
        <v>684</v>
      </c>
      <c r="J264" s="68">
        <v>36539</v>
      </c>
      <c r="K264" s="74">
        <v>40922</v>
      </c>
    </row>
    <row r="265" spans="1:11" x14ac:dyDescent="0.25">
      <c r="A265" s="73" t="s">
        <v>1216</v>
      </c>
      <c r="B265" s="67" t="s">
        <v>996</v>
      </c>
      <c r="C265" s="67" t="s">
        <v>1217</v>
      </c>
      <c r="D265" s="67" t="s">
        <v>1218</v>
      </c>
      <c r="E265" s="67" t="s">
        <v>238</v>
      </c>
      <c r="F265" s="67" t="s">
        <v>1179</v>
      </c>
      <c r="G265" s="67" t="s">
        <v>239</v>
      </c>
      <c r="H265" s="67" t="s">
        <v>9</v>
      </c>
      <c r="I265" s="67" t="s">
        <v>684</v>
      </c>
      <c r="J265" s="68">
        <v>35939</v>
      </c>
      <c r="K265" s="74">
        <v>41783</v>
      </c>
    </row>
    <row r="266" spans="1:11" x14ac:dyDescent="0.25">
      <c r="A266" s="73" t="s">
        <v>1219</v>
      </c>
      <c r="B266" s="67" t="s">
        <v>1014</v>
      </c>
      <c r="C266" s="67" t="s">
        <v>1220</v>
      </c>
      <c r="D266" s="67" t="s">
        <v>1194</v>
      </c>
      <c r="E266" s="67" t="s">
        <v>238</v>
      </c>
      <c r="F266" s="67" t="s">
        <v>1179</v>
      </c>
      <c r="G266" s="67" t="s">
        <v>239</v>
      </c>
      <c r="H266" s="67" t="s">
        <v>9</v>
      </c>
      <c r="I266" s="67" t="s">
        <v>684</v>
      </c>
      <c r="J266" s="68">
        <v>31109</v>
      </c>
      <c r="K266" s="74">
        <v>40605</v>
      </c>
    </row>
    <row r="267" spans="1:11" x14ac:dyDescent="0.25">
      <c r="A267" s="73" t="s">
        <v>1221</v>
      </c>
      <c r="B267" s="67" t="s">
        <v>1040</v>
      </c>
      <c r="C267" s="67" t="s">
        <v>1222</v>
      </c>
      <c r="D267" s="67" t="s">
        <v>1223</v>
      </c>
      <c r="E267" s="67" t="s">
        <v>238</v>
      </c>
      <c r="F267" s="67" t="s">
        <v>1179</v>
      </c>
      <c r="G267" s="67" t="s">
        <v>239</v>
      </c>
      <c r="H267" s="67" t="s">
        <v>9</v>
      </c>
      <c r="I267" s="67" t="s">
        <v>684</v>
      </c>
      <c r="J267" s="68">
        <v>33631</v>
      </c>
      <c r="K267" s="74">
        <v>42397</v>
      </c>
    </row>
    <row r="268" spans="1:11" x14ac:dyDescent="0.25">
      <c r="A268" s="73" t="s">
        <v>1224</v>
      </c>
      <c r="B268" s="67" t="s">
        <v>1083</v>
      </c>
      <c r="C268" s="67" t="s">
        <v>1196</v>
      </c>
      <c r="D268" s="67" t="s">
        <v>1225</v>
      </c>
      <c r="E268" s="67" t="s">
        <v>402</v>
      </c>
      <c r="F268" s="67" t="s">
        <v>1179</v>
      </c>
      <c r="G268" s="67" t="s">
        <v>16</v>
      </c>
      <c r="H268" s="67" t="s">
        <v>9</v>
      </c>
      <c r="I268" s="67" t="s">
        <v>689</v>
      </c>
      <c r="J268" s="68">
        <v>36320</v>
      </c>
      <c r="K268" s="74">
        <v>41434</v>
      </c>
    </row>
    <row r="269" spans="1:11" x14ac:dyDescent="0.25">
      <c r="A269" s="73" t="s">
        <v>1226</v>
      </c>
      <c r="B269" s="67" t="s">
        <v>1100</v>
      </c>
      <c r="C269" s="67" t="s">
        <v>1220</v>
      </c>
      <c r="D269" s="67" t="s">
        <v>1178</v>
      </c>
      <c r="E269" s="67" t="s">
        <v>402</v>
      </c>
      <c r="F269" s="67" t="s">
        <v>1179</v>
      </c>
      <c r="G269" s="67" t="s">
        <v>16</v>
      </c>
      <c r="H269" s="67" t="s">
        <v>9</v>
      </c>
      <c r="I269" s="67" t="s">
        <v>684</v>
      </c>
      <c r="J269" s="68">
        <v>36600</v>
      </c>
      <c r="K269" s="74">
        <v>42809</v>
      </c>
    </row>
    <row r="270" spans="1:11" x14ac:dyDescent="0.25">
      <c r="A270" s="73" t="s">
        <v>1227</v>
      </c>
      <c r="B270" s="67" t="s">
        <v>1120</v>
      </c>
      <c r="C270" s="67" t="s">
        <v>1184</v>
      </c>
      <c r="D270" s="67" t="s">
        <v>1225</v>
      </c>
      <c r="E270" s="67" t="s">
        <v>402</v>
      </c>
      <c r="F270" s="67" t="s">
        <v>1179</v>
      </c>
      <c r="G270" s="67" t="s">
        <v>16</v>
      </c>
      <c r="H270" s="67" t="s">
        <v>9</v>
      </c>
      <c r="I270" s="67" t="s">
        <v>684</v>
      </c>
      <c r="J270" s="68">
        <v>37236</v>
      </c>
      <c r="K270" s="74">
        <v>42349</v>
      </c>
    </row>
    <row r="271" spans="1:11" x14ac:dyDescent="0.25">
      <c r="A271" s="73" t="s">
        <v>1228</v>
      </c>
      <c r="B271" s="67" t="s">
        <v>1139</v>
      </c>
      <c r="C271" s="67" t="s">
        <v>1229</v>
      </c>
      <c r="D271" s="67" t="s">
        <v>1194</v>
      </c>
      <c r="E271" s="67" t="s">
        <v>402</v>
      </c>
      <c r="F271" s="67" t="s">
        <v>1179</v>
      </c>
      <c r="G271" s="67" t="s">
        <v>404</v>
      </c>
      <c r="H271" s="67" t="s">
        <v>9</v>
      </c>
      <c r="I271" s="67" t="s">
        <v>684</v>
      </c>
      <c r="J271" s="68">
        <v>33640</v>
      </c>
      <c r="K271" s="74">
        <v>42406</v>
      </c>
    </row>
    <row r="272" spans="1:11" x14ac:dyDescent="0.25">
      <c r="A272" s="73" t="s">
        <v>1230</v>
      </c>
      <c r="B272" s="67" t="s">
        <v>1164</v>
      </c>
      <c r="C272" s="67" t="s">
        <v>1231</v>
      </c>
      <c r="D272" s="67" t="s">
        <v>1232</v>
      </c>
      <c r="E272" s="67" t="s">
        <v>402</v>
      </c>
      <c r="F272" s="67" t="s">
        <v>1179</v>
      </c>
      <c r="G272" s="67" t="s">
        <v>16</v>
      </c>
      <c r="H272" s="67" t="s">
        <v>9</v>
      </c>
      <c r="I272" s="67" t="s">
        <v>684</v>
      </c>
      <c r="J272" s="68">
        <v>35990</v>
      </c>
      <c r="K272" s="74">
        <v>41834</v>
      </c>
    </row>
    <row r="273" spans="1:11" x14ac:dyDescent="0.25">
      <c r="A273" s="73" t="s">
        <v>1233</v>
      </c>
      <c r="B273" s="67" t="s">
        <v>15</v>
      </c>
      <c r="C273" s="67" t="s">
        <v>1234</v>
      </c>
      <c r="D273" s="67" t="s">
        <v>1235</v>
      </c>
      <c r="E273" s="67" t="s">
        <v>1179</v>
      </c>
      <c r="F273" s="67" t="s">
        <v>1179</v>
      </c>
      <c r="G273" s="67" t="s">
        <v>16</v>
      </c>
      <c r="H273" s="67" t="s">
        <v>637</v>
      </c>
      <c r="I273" s="67" t="s">
        <v>684</v>
      </c>
      <c r="J273" s="68">
        <v>36172</v>
      </c>
      <c r="K273" s="74">
        <v>41286</v>
      </c>
    </row>
    <row r="274" spans="1:11" x14ac:dyDescent="0.25">
      <c r="A274" s="73" t="s">
        <v>1236</v>
      </c>
      <c r="B274" s="67" t="s">
        <v>823</v>
      </c>
      <c r="C274" s="67" t="s">
        <v>1237</v>
      </c>
      <c r="D274" s="67" t="s">
        <v>1046</v>
      </c>
      <c r="E274" s="67" t="s">
        <v>1179</v>
      </c>
      <c r="F274" s="67" t="s">
        <v>1179</v>
      </c>
      <c r="G274" s="67" t="s">
        <v>16</v>
      </c>
      <c r="H274" s="67" t="s">
        <v>637</v>
      </c>
      <c r="I274" s="67" t="s">
        <v>689</v>
      </c>
      <c r="J274" s="68">
        <v>36840</v>
      </c>
      <c r="K274" s="74">
        <v>41223</v>
      </c>
    </row>
    <row r="275" spans="1:11" x14ac:dyDescent="0.25">
      <c r="A275" s="73" t="s">
        <v>1238</v>
      </c>
      <c r="B275" s="67" t="s">
        <v>238</v>
      </c>
      <c r="C275" s="67" t="s">
        <v>1239</v>
      </c>
      <c r="D275" s="67" t="s">
        <v>1240</v>
      </c>
      <c r="E275" s="67" t="s">
        <v>1179</v>
      </c>
      <c r="F275" s="67" t="s">
        <v>1179</v>
      </c>
      <c r="G275" s="67" t="s">
        <v>239</v>
      </c>
      <c r="H275" s="67" t="s">
        <v>637</v>
      </c>
      <c r="I275" s="67" t="s">
        <v>684</v>
      </c>
      <c r="J275" s="68">
        <v>36763</v>
      </c>
      <c r="K275" s="74">
        <v>42972</v>
      </c>
    </row>
    <row r="276" spans="1:11" x14ac:dyDescent="0.25">
      <c r="A276" s="73" t="s">
        <v>1241</v>
      </c>
      <c r="B276" s="67" t="s">
        <v>1242</v>
      </c>
      <c r="C276" s="67" t="s">
        <v>1243</v>
      </c>
      <c r="D276" s="67" t="s">
        <v>1130</v>
      </c>
      <c r="E276" s="67" t="s">
        <v>1179</v>
      </c>
      <c r="F276" s="67" t="s">
        <v>1179</v>
      </c>
      <c r="G276" s="67" t="s">
        <v>16</v>
      </c>
      <c r="H276" s="67" t="s">
        <v>637</v>
      </c>
      <c r="I276" s="67" t="s">
        <v>684</v>
      </c>
      <c r="J276" s="68">
        <v>31247</v>
      </c>
      <c r="K276" s="74">
        <v>40743</v>
      </c>
    </row>
    <row r="277" spans="1:11" x14ac:dyDescent="0.25">
      <c r="A277" s="73" t="s">
        <v>1244</v>
      </c>
      <c r="B277" s="67" t="s">
        <v>1179</v>
      </c>
      <c r="C277" s="67" t="s">
        <v>1245</v>
      </c>
      <c r="D277" s="67" t="s">
        <v>1246</v>
      </c>
      <c r="E277" s="67" t="s">
        <v>1247</v>
      </c>
      <c r="F277" s="67" t="s">
        <v>1248</v>
      </c>
      <c r="G277" s="67" t="s">
        <v>16</v>
      </c>
      <c r="H277" s="67" t="s">
        <v>1249</v>
      </c>
      <c r="I277" s="67" t="s">
        <v>684</v>
      </c>
      <c r="J277" s="68">
        <v>33707</v>
      </c>
      <c r="K277" s="74">
        <v>42473</v>
      </c>
    </row>
    <row r="278" spans="1:11" x14ac:dyDescent="0.25">
      <c r="A278" s="73" t="s">
        <v>1250</v>
      </c>
      <c r="B278" s="67" t="s">
        <v>1247</v>
      </c>
      <c r="C278" s="67" t="s">
        <v>1251</v>
      </c>
      <c r="D278" s="67" t="s">
        <v>1252</v>
      </c>
      <c r="E278" s="67" t="s">
        <v>1248</v>
      </c>
      <c r="F278" s="67" t="s">
        <v>1248</v>
      </c>
      <c r="G278" s="67" t="s">
        <v>16</v>
      </c>
      <c r="H278" s="67" t="s">
        <v>1253</v>
      </c>
      <c r="I278" s="67" t="s">
        <v>689</v>
      </c>
      <c r="J278" s="68">
        <v>39117</v>
      </c>
      <c r="K278" s="74">
        <v>39117</v>
      </c>
    </row>
    <row r="279" spans="1:11" ht="15.75" thickBot="1" x14ac:dyDescent="0.3">
      <c r="A279" s="75" t="s">
        <v>1254</v>
      </c>
      <c r="B279" s="76" t="s">
        <v>1255</v>
      </c>
      <c r="C279" s="76" t="s">
        <v>1256</v>
      </c>
      <c r="D279" s="76" t="s">
        <v>836</v>
      </c>
      <c r="E279" s="76" t="s">
        <v>1257</v>
      </c>
      <c r="F279" s="76" t="s">
        <v>1257</v>
      </c>
      <c r="G279" s="76" t="s">
        <v>1257</v>
      </c>
      <c r="H279" s="76" t="s">
        <v>1258</v>
      </c>
      <c r="I279" s="76" t="s">
        <v>689</v>
      </c>
      <c r="J279" s="77">
        <v>39117</v>
      </c>
      <c r="K279" s="78">
        <v>39117</v>
      </c>
    </row>
    <row r="280" spans="1:11" x14ac:dyDescent="0.25">
      <c r="A280" s="69"/>
      <c r="B280" s="69"/>
      <c r="C280" s="69"/>
      <c r="D280" s="69"/>
      <c r="E280" s="69"/>
      <c r="F280" s="69"/>
      <c r="G280" s="69"/>
      <c r="H280" s="69"/>
      <c r="I280" s="69"/>
      <c r="J280" s="69"/>
      <c r="K280" s="6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6AE7-3E0B-4B47-9E3E-16E97FE3BB9A}">
  <dimension ref="A1:D280"/>
  <sheetViews>
    <sheetView tabSelected="1" topLeftCell="A265" workbookViewId="0">
      <selection activeCell="F284" sqref="F284"/>
    </sheetView>
  </sheetViews>
  <sheetFormatPr baseColWidth="10" defaultRowHeight="15" x14ac:dyDescent="0.25"/>
  <cols>
    <col min="1" max="1" width="21.5703125" style="67" customWidth="1"/>
    <col min="2" max="2" width="21.5703125" customWidth="1"/>
    <col min="3" max="3" width="15" style="67" customWidth="1"/>
  </cols>
  <sheetData>
    <row r="1" spans="1:4" x14ac:dyDescent="0.25">
      <c r="A1" s="79" t="s">
        <v>671</v>
      </c>
      <c r="B1" s="81" t="s">
        <v>1260</v>
      </c>
      <c r="C1" s="82" t="s">
        <v>1259</v>
      </c>
    </row>
    <row r="2" spans="1:4" x14ac:dyDescent="0.25">
      <c r="A2" s="73" t="s">
        <v>13</v>
      </c>
      <c r="B2" s="80" t="s">
        <v>1261</v>
      </c>
      <c r="C2" s="83" t="s">
        <v>13</v>
      </c>
      <c r="D2" t="s">
        <v>1261</v>
      </c>
    </row>
    <row r="3" spans="1:4" x14ac:dyDescent="0.25">
      <c r="A3" s="73" t="s">
        <v>18</v>
      </c>
      <c r="B3" s="80" t="s">
        <v>1262</v>
      </c>
      <c r="C3" s="83" t="s">
        <v>18</v>
      </c>
      <c r="D3" t="s">
        <v>1262</v>
      </c>
    </row>
    <row r="4" spans="1:4" x14ac:dyDescent="0.25">
      <c r="A4" s="73" t="s">
        <v>20</v>
      </c>
      <c r="B4" s="80" t="s">
        <v>1263</v>
      </c>
      <c r="C4" s="83" t="s">
        <v>20</v>
      </c>
      <c r="D4" t="s">
        <v>1263</v>
      </c>
    </row>
    <row r="5" spans="1:4" x14ac:dyDescent="0.25">
      <c r="A5" s="73" t="s">
        <v>22</v>
      </c>
      <c r="B5" s="80" t="s">
        <v>1264</v>
      </c>
      <c r="C5" s="83" t="s">
        <v>22</v>
      </c>
      <c r="D5" t="s">
        <v>1264</v>
      </c>
    </row>
    <row r="6" spans="1:4" x14ac:dyDescent="0.25">
      <c r="A6" s="73" t="s">
        <v>24</v>
      </c>
      <c r="B6" s="80" t="s">
        <v>1265</v>
      </c>
      <c r="C6" s="83" t="s">
        <v>24</v>
      </c>
      <c r="D6" t="s">
        <v>1265</v>
      </c>
    </row>
    <row r="7" spans="1:4" x14ac:dyDescent="0.25">
      <c r="A7" s="73" t="s">
        <v>26</v>
      </c>
      <c r="B7" s="80" t="s">
        <v>1266</v>
      </c>
      <c r="C7" s="83" t="s">
        <v>26</v>
      </c>
      <c r="D7" t="s">
        <v>1266</v>
      </c>
    </row>
    <row r="8" spans="1:4" x14ac:dyDescent="0.25">
      <c r="A8" s="73" t="s">
        <v>28</v>
      </c>
      <c r="B8" s="80" t="s">
        <v>1267</v>
      </c>
      <c r="C8" s="83" t="s">
        <v>28</v>
      </c>
      <c r="D8" t="s">
        <v>1267</v>
      </c>
    </row>
    <row r="9" spans="1:4" x14ac:dyDescent="0.25">
      <c r="A9" s="73" t="s">
        <v>30</v>
      </c>
      <c r="B9" s="80" t="s">
        <v>1268</v>
      </c>
      <c r="C9" s="83" t="s">
        <v>30</v>
      </c>
      <c r="D9" t="s">
        <v>1268</v>
      </c>
    </row>
    <row r="10" spans="1:4" x14ac:dyDescent="0.25">
      <c r="A10" s="73" t="s">
        <v>32</v>
      </c>
      <c r="B10" s="80" t="s">
        <v>1269</v>
      </c>
      <c r="C10" s="83" t="s">
        <v>32</v>
      </c>
      <c r="D10" t="s">
        <v>1269</v>
      </c>
    </row>
    <row r="11" spans="1:4" x14ac:dyDescent="0.25">
      <c r="A11" s="73" t="s">
        <v>34</v>
      </c>
      <c r="B11" s="80" t="s">
        <v>1270</v>
      </c>
      <c r="C11" s="83" t="s">
        <v>34</v>
      </c>
      <c r="D11" t="s">
        <v>1270</v>
      </c>
    </row>
    <row r="12" spans="1:4" x14ac:dyDescent="0.25">
      <c r="A12" s="73" t="s">
        <v>37</v>
      </c>
      <c r="B12" s="80" t="s">
        <v>1271</v>
      </c>
      <c r="C12" s="83" t="s">
        <v>37</v>
      </c>
      <c r="D12" t="s">
        <v>1271</v>
      </c>
    </row>
    <row r="13" spans="1:4" x14ac:dyDescent="0.25">
      <c r="A13" s="73" t="s">
        <v>39</v>
      </c>
      <c r="B13" s="80" t="s">
        <v>1272</v>
      </c>
      <c r="C13" s="83" t="s">
        <v>39</v>
      </c>
      <c r="D13" t="s">
        <v>1272</v>
      </c>
    </row>
    <row r="14" spans="1:4" x14ac:dyDescent="0.25">
      <c r="A14" s="73" t="s">
        <v>41</v>
      </c>
      <c r="B14" s="80" t="s">
        <v>1273</v>
      </c>
      <c r="C14" s="83" t="s">
        <v>41</v>
      </c>
      <c r="D14" t="s">
        <v>1273</v>
      </c>
    </row>
    <row r="15" spans="1:4" x14ac:dyDescent="0.25">
      <c r="A15" s="73" t="s">
        <v>43</v>
      </c>
      <c r="B15" s="80" t="s">
        <v>1274</v>
      </c>
      <c r="C15" s="83" t="s">
        <v>43</v>
      </c>
      <c r="D15" t="s">
        <v>1274</v>
      </c>
    </row>
    <row r="16" spans="1:4" x14ac:dyDescent="0.25">
      <c r="A16" s="73" t="s">
        <v>45</v>
      </c>
      <c r="B16" s="80" t="s">
        <v>1275</v>
      </c>
      <c r="C16" s="83" t="s">
        <v>45</v>
      </c>
      <c r="D16" t="s">
        <v>1275</v>
      </c>
    </row>
    <row r="17" spans="1:4" x14ac:dyDescent="0.25">
      <c r="A17" s="73" t="s">
        <v>47</v>
      </c>
      <c r="B17" s="80" t="s">
        <v>1276</v>
      </c>
      <c r="C17" s="83" t="s">
        <v>47</v>
      </c>
      <c r="D17" t="s">
        <v>1276</v>
      </c>
    </row>
    <row r="18" spans="1:4" x14ac:dyDescent="0.25">
      <c r="A18" s="73" t="s">
        <v>49</v>
      </c>
      <c r="B18" s="80" t="s">
        <v>1277</v>
      </c>
      <c r="C18" s="83" t="s">
        <v>49</v>
      </c>
      <c r="D18" t="s">
        <v>1277</v>
      </c>
    </row>
    <row r="19" spans="1:4" x14ac:dyDescent="0.25">
      <c r="A19" s="73" t="s">
        <v>51</v>
      </c>
      <c r="B19" s="80" t="s">
        <v>1278</v>
      </c>
      <c r="C19" s="83" t="s">
        <v>51</v>
      </c>
      <c r="D19" t="s">
        <v>1278</v>
      </c>
    </row>
    <row r="20" spans="1:4" x14ac:dyDescent="0.25">
      <c r="A20" s="73" t="s">
        <v>53</v>
      </c>
      <c r="B20" s="80" t="s">
        <v>1279</v>
      </c>
      <c r="C20" s="83" t="s">
        <v>53</v>
      </c>
      <c r="D20" t="s">
        <v>1279</v>
      </c>
    </row>
    <row r="21" spans="1:4" x14ac:dyDescent="0.25">
      <c r="A21" s="73" t="s">
        <v>55</v>
      </c>
      <c r="B21" s="80" t="s">
        <v>1280</v>
      </c>
      <c r="C21" s="83" t="s">
        <v>55</v>
      </c>
      <c r="D21" t="s">
        <v>1280</v>
      </c>
    </row>
    <row r="22" spans="1:4" x14ac:dyDescent="0.25">
      <c r="A22" s="73" t="s">
        <v>57</v>
      </c>
      <c r="B22" s="80" t="s">
        <v>1281</v>
      </c>
      <c r="C22" s="83" t="s">
        <v>57</v>
      </c>
      <c r="D22" t="s">
        <v>1281</v>
      </c>
    </row>
    <row r="23" spans="1:4" x14ac:dyDescent="0.25">
      <c r="A23" s="73" t="s">
        <v>59</v>
      </c>
      <c r="B23" s="80" t="s">
        <v>1282</v>
      </c>
      <c r="C23" s="83" t="s">
        <v>59</v>
      </c>
      <c r="D23" t="s">
        <v>1282</v>
      </c>
    </row>
    <row r="24" spans="1:4" x14ac:dyDescent="0.25">
      <c r="A24" s="73" t="s">
        <v>61</v>
      </c>
      <c r="B24" s="80" t="s">
        <v>1283</v>
      </c>
      <c r="C24" s="83" t="s">
        <v>61</v>
      </c>
      <c r="D24" t="s">
        <v>1283</v>
      </c>
    </row>
    <row r="25" spans="1:4" x14ac:dyDescent="0.25">
      <c r="A25" s="73" t="s">
        <v>63</v>
      </c>
      <c r="B25" s="80" t="s">
        <v>1284</v>
      </c>
      <c r="C25" s="83" t="s">
        <v>63</v>
      </c>
      <c r="D25" t="s">
        <v>1284</v>
      </c>
    </row>
    <row r="26" spans="1:4" x14ac:dyDescent="0.25">
      <c r="A26" s="73" t="s">
        <v>65</v>
      </c>
      <c r="B26" s="80" t="s">
        <v>1285</v>
      </c>
      <c r="C26" s="83" t="s">
        <v>65</v>
      </c>
      <c r="D26" t="s">
        <v>1285</v>
      </c>
    </row>
    <row r="27" spans="1:4" x14ac:dyDescent="0.25">
      <c r="A27" s="73" t="s">
        <v>67</v>
      </c>
      <c r="B27" s="80" t="s">
        <v>1286</v>
      </c>
      <c r="C27" s="83" t="s">
        <v>67</v>
      </c>
      <c r="D27" t="s">
        <v>1286</v>
      </c>
    </row>
    <row r="28" spans="1:4" x14ac:dyDescent="0.25">
      <c r="A28" s="73" t="s">
        <v>69</v>
      </c>
      <c r="B28" s="80" t="s">
        <v>1287</v>
      </c>
      <c r="C28" s="83" t="s">
        <v>69</v>
      </c>
      <c r="D28" t="s">
        <v>1287</v>
      </c>
    </row>
    <row r="29" spans="1:4" x14ac:dyDescent="0.25">
      <c r="A29" s="73" t="s">
        <v>71</v>
      </c>
      <c r="B29" s="80" t="s">
        <v>1288</v>
      </c>
      <c r="C29" s="83" t="s">
        <v>71</v>
      </c>
      <c r="D29" t="s">
        <v>1288</v>
      </c>
    </row>
    <row r="30" spans="1:4" x14ac:dyDescent="0.25">
      <c r="A30" s="73" t="s">
        <v>73</v>
      </c>
      <c r="B30" s="80" t="s">
        <v>1289</v>
      </c>
      <c r="C30" s="83" t="s">
        <v>73</v>
      </c>
      <c r="D30" t="s">
        <v>1289</v>
      </c>
    </row>
    <row r="31" spans="1:4" x14ac:dyDescent="0.25">
      <c r="A31" s="73" t="s">
        <v>75</v>
      </c>
      <c r="B31" s="80" t="s">
        <v>1290</v>
      </c>
      <c r="C31" s="83" t="s">
        <v>75</v>
      </c>
      <c r="D31" t="s">
        <v>1290</v>
      </c>
    </row>
    <row r="32" spans="1:4" x14ac:dyDescent="0.25">
      <c r="A32" s="73" t="s">
        <v>78</v>
      </c>
      <c r="B32" s="80" t="s">
        <v>1291</v>
      </c>
      <c r="C32" s="83" t="s">
        <v>78</v>
      </c>
      <c r="D32" t="s">
        <v>1291</v>
      </c>
    </row>
    <row r="33" spans="1:4" x14ac:dyDescent="0.25">
      <c r="A33" s="73" t="s">
        <v>80</v>
      </c>
      <c r="B33" s="80" t="s">
        <v>1292</v>
      </c>
      <c r="C33" s="83" t="s">
        <v>80</v>
      </c>
      <c r="D33" t="s">
        <v>1292</v>
      </c>
    </row>
    <row r="34" spans="1:4" x14ac:dyDescent="0.25">
      <c r="A34" s="73" t="s">
        <v>83</v>
      </c>
      <c r="B34" s="80" t="s">
        <v>1293</v>
      </c>
      <c r="C34" s="83" t="s">
        <v>83</v>
      </c>
      <c r="D34" t="s">
        <v>1293</v>
      </c>
    </row>
    <row r="35" spans="1:4" x14ac:dyDescent="0.25">
      <c r="A35" s="73" t="s">
        <v>85</v>
      </c>
      <c r="B35" s="80" t="s">
        <v>1294</v>
      </c>
      <c r="C35" s="83" t="s">
        <v>85</v>
      </c>
      <c r="D35" t="s">
        <v>1294</v>
      </c>
    </row>
    <row r="36" spans="1:4" x14ac:dyDescent="0.25">
      <c r="A36" s="73" t="s">
        <v>87</v>
      </c>
      <c r="B36" s="80" t="s">
        <v>1295</v>
      </c>
      <c r="C36" s="83" t="s">
        <v>87</v>
      </c>
      <c r="D36" t="s">
        <v>1295</v>
      </c>
    </row>
    <row r="37" spans="1:4" x14ac:dyDescent="0.25">
      <c r="A37" s="73" t="s">
        <v>89</v>
      </c>
      <c r="B37" s="80" t="s">
        <v>1296</v>
      </c>
      <c r="C37" s="83" t="s">
        <v>89</v>
      </c>
      <c r="D37" t="s">
        <v>1296</v>
      </c>
    </row>
    <row r="38" spans="1:4" x14ac:dyDescent="0.25">
      <c r="A38" s="73" t="s">
        <v>91</v>
      </c>
      <c r="B38" s="80" t="s">
        <v>1297</v>
      </c>
      <c r="C38" s="83" t="s">
        <v>91</v>
      </c>
      <c r="D38" t="s">
        <v>1297</v>
      </c>
    </row>
    <row r="39" spans="1:4" x14ac:dyDescent="0.25">
      <c r="A39" s="73" t="s">
        <v>93</v>
      </c>
      <c r="B39" s="80" t="s">
        <v>1298</v>
      </c>
      <c r="C39" s="83" t="s">
        <v>93</v>
      </c>
      <c r="D39" t="s">
        <v>1298</v>
      </c>
    </row>
    <row r="40" spans="1:4" x14ac:dyDescent="0.25">
      <c r="A40" s="73" t="s">
        <v>95</v>
      </c>
      <c r="B40" s="80" t="s">
        <v>1299</v>
      </c>
      <c r="C40" s="83" t="s">
        <v>95</v>
      </c>
      <c r="D40" t="s">
        <v>1299</v>
      </c>
    </row>
    <row r="41" spans="1:4" x14ac:dyDescent="0.25">
      <c r="A41" s="73" t="s">
        <v>97</v>
      </c>
      <c r="B41" s="80" t="s">
        <v>1300</v>
      </c>
      <c r="C41" s="83" t="s">
        <v>97</v>
      </c>
      <c r="D41" t="s">
        <v>1300</v>
      </c>
    </row>
    <row r="42" spans="1:4" x14ac:dyDescent="0.25">
      <c r="A42" s="73" t="s">
        <v>99</v>
      </c>
      <c r="B42" s="80" t="s">
        <v>1301</v>
      </c>
      <c r="C42" s="83" t="s">
        <v>99</v>
      </c>
      <c r="D42" t="s">
        <v>1301</v>
      </c>
    </row>
    <row r="43" spans="1:4" x14ac:dyDescent="0.25">
      <c r="A43" s="73" t="s">
        <v>101</v>
      </c>
      <c r="B43" s="80" t="s">
        <v>1302</v>
      </c>
      <c r="C43" s="83" t="s">
        <v>101</v>
      </c>
      <c r="D43" t="s">
        <v>1302</v>
      </c>
    </row>
    <row r="44" spans="1:4" x14ac:dyDescent="0.25">
      <c r="A44" s="73" t="s">
        <v>103</v>
      </c>
      <c r="B44" s="80" t="s">
        <v>1303</v>
      </c>
      <c r="C44" s="83" t="s">
        <v>103</v>
      </c>
      <c r="D44" t="s">
        <v>1303</v>
      </c>
    </row>
    <row r="45" spans="1:4" x14ac:dyDescent="0.25">
      <c r="A45" s="73" t="s">
        <v>105</v>
      </c>
      <c r="B45" s="80" t="s">
        <v>1304</v>
      </c>
      <c r="C45" s="83" t="s">
        <v>105</v>
      </c>
      <c r="D45" t="s">
        <v>1304</v>
      </c>
    </row>
    <row r="46" spans="1:4" x14ac:dyDescent="0.25">
      <c r="A46" s="73" t="s">
        <v>107</v>
      </c>
      <c r="B46" s="80" t="s">
        <v>1305</v>
      </c>
      <c r="C46" s="83" t="s">
        <v>107</v>
      </c>
      <c r="D46" t="s">
        <v>1305</v>
      </c>
    </row>
    <row r="47" spans="1:4" x14ac:dyDescent="0.25">
      <c r="A47" s="73" t="s">
        <v>109</v>
      </c>
      <c r="B47" s="80" t="s">
        <v>1306</v>
      </c>
      <c r="C47" s="83" t="s">
        <v>109</v>
      </c>
      <c r="D47" t="s">
        <v>1306</v>
      </c>
    </row>
    <row r="48" spans="1:4" x14ac:dyDescent="0.25">
      <c r="A48" s="73" t="s">
        <v>111</v>
      </c>
      <c r="B48" s="80" t="s">
        <v>1307</v>
      </c>
      <c r="C48" s="83" t="s">
        <v>111</v>
      </c>
      <c r="D48" t="s">
        <v>1307</v>
      </c>
    </row>
    <row r="49" spans="1:4" x14ac:dyDescent="0.25">
      <c r="A49" s="73" t="s">
        <v>113</v>
      </c>
      <c r="B49" s="80" t="s">
        <v>1308</v>
      </c>
      <c r="C49" s="83" t="s">
        <v>113</v>
      </c>
      <c r="D49" t="s">
        <v>1308</v>
      </c>
    </row>
    <row r="50" spans="1:4" x14ac:dyDescent="0.25">
      <c r="A50" s="73" t="s">
        <v>115</v>
      </c>
      <c r="B50" s="80" t="s">
        <v>1309</v>
      </c>
      <c r="C50" s="83" t="s">
        <v>115</v>
      </c>
      <c r="D50" t="s">
        <v>1309</v>
      </c>
    </row>
    <row r="51" spans="1:4" x14ac:dyDescent="0.25">
      <c r="A51" s="73" t="s">
        <v>117</v>
      </c>
      <c r="B51" s="80" t="s">
        <v>1310</v>
      </c>
      <c r="C51" s="83" t="s">
        <v>117</v>
      </c>
      <c r="D51" t="s">
        <v>1310</v>
      </c>
    </row>
    <row r="52" spans="1:4" x14ac:dyDescent="0.25">
      <c r="A52" s="73" t="s">
        <v>120</v>
      </c>
      <c r="B52" s="80" t="s">
        <v>1311</v>
      </c>
      <c r="C52" s="83" t="s">
        <v>120</v>
      </c>
      <c r="D52" t="s">
        <v>1311</v>
      </c>
    </row>
    <row r="53" spans="1:4" x14ac:dyDescent="0.25">
      <c r="A53" s="73" t="s">
        <v>122</v>
      </c>
      <c r="B53" s="80" t="s">
        <v>1312</v>
      </c>
      <c r="C53" s="83" t="s">
        <v>122</v>
      </c>
      <c r="D53" t="s">
        <v>1312</v>
      </c>
    </row>
    <row r="54" spans="1:4" x14ac:dyDescent="0.25">
      <c r="A54" s="73" t="s">
        <v>124</v>
      </c>
      <c r="B54" s="80" t="s">
        <v>1313</v>
      </c>
      <c r="C54" s="83" t="s">
        <v>124</v>
      </c>
      <c r="D54" t="s">
        <v>1313</v>
      </c>
    </row>
    <row r="55" spans="1:4" x14ac:dyDescent="0.25">
      <c r="A55" s="73" t="s">
        <v>126</v>
      </c>
      <c r="B55" s="80" t="s">
        <v>1314</v>
      </c>
      <c r="C55" s="83" t="s">
        <v>126</v>
      </c>
      <c r="D55" t="s">
        <v>1314</v>
      </c>
    </row>
    <row r="56" spans="1:4" x14ac:dyDescent="0.25">
      <c r="A56" s="73" t="s">
        <v>128</v>
      </c>
      <c r="B56" s="80" t="s">
        <v>1315</v>
      </c>
      <c r="C56" s="83" t="s">
        <v>128</v>
      </c>
      <c r="D56" t="s">
        <v>1315</v>
      </c>
    </row>
    <row r="57" spans="1:4" x14ac:dyDescent="0.25">
      <c r="A57" s="73" t="s">
        <v>130</v>
      </c>
      <c r="B57" s="80" t="s">
        <v>1316</v>
      </c>
      <c r="C57" s="83" t="s">
        <v>130</v>
      </c>
      <c r="D57" t="s">
        <v>1316</v>
      </c>
    </row>
    <row r="58" spans="1:4" x14ac:dyDescent="0.25">
      <c r="A58" s="73" t="s">
        <v>132</v>
      </c>
      <c r="B58" s="80" t="s">
        <v>1317</v>
      </c>
      <c r="C58" s="83" t="s">
        <v>132</v>
      </c>
      <c r="D58" t="s">
        <v>1317</v>
      </c>
    </row>
    <row r="59" spans="1:4" x14ac:dyDescent="0.25">
      <c r="A59" s="73" t="s">
        <v>134</v>
      </c>
      <c r="B59" s="80" t="s">
        <v>1318</v>
      </c>
      <c r="C59" s="83" t="s">
        <v>134</v>
      </c>
      <c r="D59" t="s">
        <v>1318</v>
      </c>
    </row>
    <row r="60" spans="1:4" x14ac:dyDescent="0.25">
      <c r="A60" s="73" t="s">
        <v>136</v>
      </c>
      <c r="B60" s="80" t="s">
        <v>1319</v>
      </c>
      <c r="C60" s="83" t="s">
        <v>136</v>
      </c>
      <c r="D60" t="s">
        <v>1319</v>
      </c>
    </row>
    <row r="61" spans="1:4" x14ac:dyDescent="0.25">
      <c r="A61" s="73" t="s">
        <v>138</v>
      </c>
      <c r="B61" s="80" t="s">
        <v>1320</v>
      </c>
      <c r="C61" s="83" t="s">
        <v>138</v>
      </c>
      <c r="D61" t="s">
        <v>1320</v>
      </c>
    </row>
    <row r="62" spans="1:4" x14ac:dyDescent="0.25">
      <c r="A62" s="73" t="s">
        <v>140</v>
      </c>
      <c r="B62" s="80" t="s">
        <v>1321</v>
      </c>
      <c r="C62" s="83" t="s">
        <v>140</v>
      </c>
      <c r="D62" t="s">
        <v>1321</v>
      </c>
    </row>
    <row r="63" spans="1:4" x14ac:dyDescent="0.25">
      <c r="A63" s="73" t="s">
        <v>142</v>
      </c>
      <c r="B63" s="80" t="s">
        <v>1322</v>
      </c>
      <c r="C63" s="83" t="s">
        <v>142</v>
      </c>
      <c r="D63" t="s">
        <v>1322</v>
      </c>
    </row>
    <row r="64" spans="1:4" x14ac:dyDescent="0.25">
      <c r="A64" s="73" t="s">
        <v>146</v>
      </c>
      <c r="B64" s="80" t="s">
        <v>1323</v>
      </c>
      <c r="C64" s="83" t="s">
        <v>146</v>
      </c>
      <c r="D64" t="s">
        <v>1323</v>
      </c>
    </row>
    <row r="65" spans="1:4" x14ac:dyDescent="0.25">
      <c r="A65" s="73" t="s">
        <v>148</v>
      </c>
      <c r="B65" s="80" t="s">
        <v>1324</v>
      </c>
      <c r="C65" s="83" t="s">
        <v>148</v>
      </c>
      <c r="D65" t="s">
        <v>1324</v>
      </c>
    </row>
    <row r="66" spans="1:4" x14ac:dyDescent="0.25">
      <c r="A66" s="73" t="s">
        <v>150</v>
      </c>
      <c r="B66" s="80" t="s">
        <v>1325</v>
      </c>
      <c r="C66" s="83" t="s">
        <v>150</v>
      </c>
      <c r="D66" t="s">
        <v>1325</v>
      </c>
    </row>
    <row r="67" spans="1:4" x14ac:dyDescent="0.25">
      <c r="A67" s="73" t="s">
        <v>152</v>
      </c>
      <c r="B67" s="80" t="s">
        <v>1326</v>
      </c>
      <c r="C67" s="83" t="s">
        <v>152</v>
      </c>
      <c r="D67" t="s">
        <v>1326</v>
      </c>
    </row>
    <row r="68" spans="1:4" x14ac:dyDescent="0.25">
      <c r="A68" s="73" t="s">
        <v>154</v>
      </c>
      <c r="B68" s="80" t="s">
        <v>1327</v>
      </c>
      <c r="C68" s="83" t="s">
        <v>154</v>
      </c>
      <c r="D68" t="s">
        <v>1327</v>
      </c>
    </row>
    <row r="69" spans="1:4" x14ac:dyDescent="0.25">
      <c r="A69" s="73" t="s">
        <v>156</v>
      </c>
      <c r="B69" s="80" t="s">
        <v>1328</v>
      </c>
      <c r="C69" s="83" t="s">
        <v>156</v>
      </c>
      <c r="D69" t="s">
        <v>1328</v>
      </c>
    </row>
    <row r="70" spans="1:4" x14ac:dyDescent="0.25">
      <c r="A70" s="73" t="s">
        <v>159</v>
      </c>
      <c r="B70" s="80" t="s">
        <v>1329</v>
      </c>
      <c r="C70" s="83" t="s">
        <v>159</v>
      </c>
      <c r="D70" t="s">
        <v>1329</v>
      </c>
    </row>
    <row r="71" spans="1:4" x14ac:dyDescent="0.25">
      <c r="A71" s="73" t="s">
        <v>161</v>
      </c>
      <c r="B71" s="80" t="s">
        <v>1330</v>
      </c>
      <c r="C71" s="83" t="s">
        <v>161</v>
      </c>
      <c r="D71" t="s">
        <v>1330</v>
      </c>
    </row>
    <row r="72" spans="1:4" x14ac:dyDescent="0.25">
      <c r="A72" s="73" t="s">
        <v>163</v>
      </c>
      <c r="B72" s="80" t="s">
        <v>1331</v>
      </c>
      <c r="C72" s="83" t="s">
        <v>163</v>
      </c>
      <c r="D72" t="s">
        <v>1331</v>
      </c>
    </row>
    <row r="73" spans="1:4" x14ac:dyDescent="0.25">
      <c r="A73" s="73" t="s">
        <v>165</v>
      </c>
      <c r="B73" s="80" t="s">
        <v>1332</v>
      </c>
      <c r="C73" s="83" t="s">
        <v>165</v>
      </c>
      <c r="D73" t="s">
        <v>1332</v>
      </c>
    </row>
    <row r="74" spans="1:4" x14ac:dyDescent="0.25">
      <c r="A74" s="73" t="s">
        <v>167</v>
      </c>
      <c r="B74" s="80" t="s">
        <v>1333</v>
      </c>
      <c r="C74" s="83" t="s">
        <v>167</v>
      </c>
      <c r="D74" t="s">
        <v>1333</v>
      </c>
    </row>
    <row r="75" spans="1:4" x14ac:dyDescent="0.25">
      <c r="A75" s="73" t="s">
        <v>169</v>
      </c>
      <c r="B75" s="80" t="s">
        <v>1334</v>
      </c>
      <c r="C75" s="83" t="s">
        <v>169</v>
      </c>
      <c r="D75" t="s">
        <v>1334</v>
      </c>
    </row>
    <row r="76" spans="1:4" x14ac:dyDescent="0.25">
      <c r="A76" s="73" t="s">
        <v>171</v>
      </c>
      <c r="B76" s="80" t="s">
        <v>1335</v>
      </c>
      <c r="C76" s="83" t="s">
        <v>171</v>
      </c>
      <c r="D76" t="s">
        <v>1335</v>
      </c>
    </row>
    <row r="77" spans="1:4" x14ac:dyDescent="0.25">
      <c r="A77" s="73" t="s">
        <v>173</v>
      </c>
      <c r="B77" s="80" t="s">
        <v>1336</v>
      </c>
      <c r="C77" s="83" t="s">
        <v>173</v>
      </c>
      <c r="D77" t="s">
        <v>1336</v>
      </c>
    </row>
    <row r="78" spans="1:4" x14ac:dyDescent="0.25">
      <c r="A78" s="73" t="s">
        <v>175</v>
      </c>
      <c r="B78" s="80" t="s">
        <v>1337</v>
      </c>
      <c r="C78" s="83" t="s">
        <v>175</v>
      </c>
      <c r="D78" t="s">
        <v>1337</v>
      </c>
    </row>
    <row r="79" spans="1:4" x14ac:dyDescent="0.25">
      <c r="A79" s="73" t="s">
        <v>177</v>
      </c>
      <c r="B79" s="80" t="s">
        <v>1338</v>
      </c>
      <c r="C79" s="83" t="s">
        <v>177</v>
      </c>
      <c r="D79" t="s">
        <v>1338</v>
      </c>
    </row>
    <row r="80" spans="1:4" x14ac:dyDescent="0.25">
      <c r="A80" s="73" t="s">
        <v>179</v>
      </c>
      <c r="B80" s="80" t="s">
        <v>1339</v>
      </c>
      <c r="C80" s="83" t="s">
        <v>179</v>
      </c>
      <c r="D80" t="s">
        <v>1339</v>
      </c>
    </row>
    <row r="81" spans="1:4" x14ac:dyDescent="0.25">
      <c r="A81" s="73" t="s">
        <v>181</v>
      </c>
      <c r="B81" s="80" t="s">
        <v>1340</v>
      </c>
      <c r="C81" s="83" t="s">
        <v>181</v>
      </c>
      <c r="D81" t="s">
        <v>1340</v>
      </c>
    </row>
    <row r="82" spans="1:4" x14ac:dyDescent="0.25">
      <c r="A82" s="73" t="s">
        <v>183</v>
      </c>
      <c r="B82" s="80" t="s">
        <v>1341</v>
      </c>
      <c r="C82" s="83" t="s">
        <v>183</v>
      </c>
      <c r="D82" t="s">
        <v>1341</v>
      </c>
    </row>
    <row r="83" spans="1:4" x14ac:dyDescent="0.25">
      <c r="A83" s="73" t="s">
        <v>186</v>
      </c>
      <c r="B83" s="80" t="s">
        <v>1342</v>
      </c>
      <c r="C83" s="83" t="s">
        <v>186</v>
      </c>
      <c r="D83" t="s">
        <v>1342</v>
      </c>
    </row>
    <row r="84" spans="1:4" x14ac:dyDescent="0.25">
      <c r="A84" s="73" t="s">
        <v>188</v>
      </c>
      <c r="B84" s="80" t="s">
        <v>1343</v>
      </c>
      <c r="C84" s="83" t="s">
        <v>188</v>
      </c>
      <c r="D84" t="s">
        <v>1343</v>
      </c>
    </row>
    <row r="85" spans="1:4" x14ac:dyDescent="0.25">
      <c r="A85" s="73" t="s">
        <v>190</v>
      </c>
      <c r="B85" s="80" t="s">
        <v>1344</v>
      </c>
      <c r="C85" s="83" t="s">
        <v>190</v>
      </c>
      <c r="D85" t="s">
        <v>1344</v>
      </c>
    </row>
    <row r="86" spans="1:4" x14ac:dyDescent="0.25">
      <c r="A86" s="73" t="s">
        <v>192</v>
      </c>
      <c r="B86" s="80" t="s">
        <v>1345</v>
      </c>
      <c r="C86" s="83" t="s">
        <v>192</v>
      </c>
      <c r="D86" t="s">
        <v>1345</v>
      </c>
    </row>
    <row r="87" spans="1:4" x14ac:dyDescent="0.25">
      <c r="A87" s="73" t="s">
        <v>194</v>
      </c>
      <c r="B87" s="80" t="s">
        <v>1346</v>
      </c>
      <c r="C87" s="83" t="s">
        <v>194</v>
      </c>
      <c r="D87" t="s">
        <v>1346</v>
      </c>
    </row>
    <row r="88" spans="1:4" x14ac:dyDescent="0.25">
      <c r="A88" s="73" t="s">
        <v>196</v>
      </c>
      <c r="B88" s="80" t="s">
        <v>1347</v>
      </c>
      <c r="C88" s="83" t="s">
        <v>196</v>
      </c>
      <c r="D88" t="s">
        <v>1347</v>
      </c>
    </row>
    <row r="89" spans="1:4" x14ac:dyDescent="0.25">
      <c r="A89" s="73" t="s">
        <v>198</v>
      </c>
      <c r="B89" s="80" t="s">
        <v>1348</v>
      </c>
      <c r="C89" s="83" t="s">
        <v>198</v>
      </c>
      <c r="D89" t="s">
        <v>1348</v>
      </c>
    </row>
    <row r="90" spans="1:4" x14ac:dyDescent="0.25">
      <c r="A90" s="73" t="s">
        <v>200</v>
      </c>
      <c r="B90" s="80" t="s">
        <v>1349</v>
      </c>
      <c r="C90" s="83" t="s">
        <v>200</v>
      </c>
      <c r="D90" t="s">
        <v>1349</v>
      </c>
    </row>
    <row r="91" spans="1:4" x14ac:dyDescent="0.25">
      <c r="A91" s="73" t="s">
        <v>202</v>
      </c>
      <c r="B91" s="80" t="s">
        <v>1350</v>
      </c>
      <c r="C91" s="83" t="s">
        <v>202</v>
      </c>
      <c r="D91" t="s">
        <v>1350</v>
      </c>
    </row>
    <row r="92" spans="1:4" x14ac:dyDescent="0.25">
      <c r="A92" s="73" t="s">
        <v>204</v>
      </c>
      <c r="B92" s="80" t="s">
        <v>1351</v>
      </c>
      <c r="C92" s="83" t="s">
        <v>204</v>
      </c>
      <c r="D92" t="s">
        <v>1351</v>
      </c>
    </row>
    <row r="93" spans="1:4" x14ac:dyDescent="0.25">
      <c r="A93" s="73" t="s">
        <v>206</v>
      </c>
      <c r="B93" s="80" t="s">
        <v>1352</v>
      </c>
      <c r="C93" s="83" t="s">
        <v>206</v>
      </c>
      <c r="D93" t="s">
        <v>1352</v>
      </c>
    </row>
    <row r="94" spans="1:4" x14ac:dyDescent="0.25">
      <c r="A94" s="73" t="s">
        <v>208</v>
      </c>
      <c r="B94" s="80" t="s">
        <v>1353</v>
      </c>
      <c r="C94" s="83" t="s">
        <v>208</v>
      </c>
      <c r="D94" t="s">
        <v>1353</v>
      </c>
    </row>
    <row r="95" spans="1:4" x14ac:dyDescent="0.25">
      <c r="A95" s="73" t="s">
        <v>210</v>
      </c>
      <c r="B95" s="80" t="s">
        <v>1354</v>
      </c>
      <c r="C95" s="83" t="s">
        <v>210</v>
      </c>
      <c r="D95" t="s">
        <v>1354</v>
      </c>
    </row>
    <row r="96" spans="1:4" x14ac:dyDescent="0.25">
      <c r="A96" s="73" t="s">
        <v>212</v>
      </c>
      <c r="B96" s="80" t="s">
        <v>1355</v>
      </c>
      <c r="C96" s="83" t="s">
        <v>212</v>
      </c>
      <c r="D96" t="s">
        <v>1355</v>
      </c>
    </row>
    <row r="97" spans="1:4" x14ac:dyDescent="0.25">
      <c r="A97" s="73" t="s">
        <v>214</v>
      </c>
      <c r="B97" s="80" t="s">
        <v>1356</v>
      </c>
      <c r="C97" s="83" t="s">
        <v>214</v>
      </c>
      <c r="D97" t="s">
        <v>1356</v>
      </c>
    </row>
    <row r="98" spans="1:4" x14ac:dyDescent="0.25">
      <c r="A98" s="73" t="s">
        <v>216</v>
      </c>
      <c r="B98" s="80" t="s">
        <v>1357</v>
      </c>
      <c r="C98" s="83" t="s">
        <v>216</v>
      </c>
      <c r="D98" t="s">
        <v>1357</v>
      </c>
    </row>
    <row r="99" spans="1:4" x14ac:dyDescent="0.25">
      <c r="A99" s="73" t="s">
        <v>218</v>
      </c>
      <c r="B99" s="80" t="s">
        <v>1358</v>
      </c>
      <c r="C99" s="83" t="s">
        <v>218</v>
      </c>
      <c r="D99" t="s">
        <v>1358</v>
      </c>
    </row>
    <row r="100" spans="1:4" x14ac:dyDescent="0.25">
      <c r="A100" s="73" t="s">
        <v>220</v>
      </c>
      <c r="B100" s="80" t="s">
        <v>1359</v>
      </c>
      <c r="C100" s="83" t="s">
        <v>220</v>
      </c>
      <c r="D100" t="s">
        <v>1359</v>
      </c>
    </row>
    <row r="101" spans="1:4" x14ac:dyDescent="0.25">
      <c r="A101" s="73" t="s">
        <v>222</v>
      </c>
      <c r="B101" s="80" t="s">
        <v>1360</v>
      </c>
      <c r="C101" s="83" t="s">
        <v>222</v>
      </c>
      <c r="D101" t="s">
        <v>1360</v>
      </c>
    </row>
    <row r="102" spans="1:4" x14ac:dyDescent="0.25">
      <c r="A102" s="73" t="s">
        <v>224</v>
      </c>
      <c r="B102" s="80" t="s">
        <v>1361</v>
      </c>
      <c r="C102" s="83" t="s">
        <v>224</v>
      </c>
      <c r="D102" t="s">
        <v>1361</v>
      </c>
    </row>
    <row r="103" spans="1:4" x14ac:dyDescent="0.25">
      <c r="A103" s="73" t="s">
        <v>226</v>
      </c>
      <c r="B103" s="80" t="s">
        <v>1362</v>
      </c>
      <c r="C103" s="83" t="s">
        <v>226</v>
      </c>
      <c r="D103" t="s">
        <v>1362</v>
      </c>
    </row>
    <row r="104" spans="1:4" x14ac:dyDescent="0.25">
      <c r="A104" s="73" t="s">
        <v>228</v>
      </c>
      <c r="B104" s="80" t="s">
        <v>1363</v>
      </c>
      <c r="C104" s="83" t="s">
        <v>228</v>
      </c>
      <c r="D104" t="s">
        <v>1363</v>
      </c>
    </row>
    <row r="105" spans="1:4" x14ac:dyDescent="0.25">
      <c r="A105" s="73" t="s">
        <v>230</v>
      </c>
      <c r="B105" s="80" t="s">
        <v>1364</v>
      </c>
      <c r="C105" s="83" t="s">
        <v>230</v>
      </c>
      <c r="D105" t="s">
        <v>1364</v>
      </c>
    </row>
    <row r="106" spans="1:4" x14ac:dyDescent="0.25">
      <c r="A106" s="73" t="s">
        <v>232</v>
      </c>
      <c r="B106" s="80" t="s">
        <v>1365</v>
      </c>
      <c r="C106" s="83" t="s">
        <v>232</v>
      </c>
      <c r="D106" t="s">
        <v>1365</v>
      </c>
    </row>
    <row r="107" spans="1:4" x14ac:dyDescent="0.25">
      <c r="A107" s="73" t="s">
        <v>234</v>
      </c>
      <c r="B107" s="80" t="s">
        <v>1366</v>
      </c>
      <c r="C107" s="83" t="s">
        <v>234</v>
      </c>
      <c r="D107" t="s">
        <v>1366</v>
      </c>
    </row>
    <row r="108" spans="1:4" x14ac:dyDescent="0.25">
      <c r="A108" s="73" t="s">
        <v>236</v>
      </c>
      <c r="B108" s="80" t="s">
        <v>1367</v>
      </c>
      <c r="C108" s="83" t="s">
        <v>236</v>
      </c>
      <c r="D108" t="s">
        <v>1367</v>
      </c>
    </row>
    <row r="109" spans="1:4" x14ac:dyDescent="0.25">
      <c r="A109" s="73" t="s">
        <v>241</v>
      </c>
      <c r="B109" s="80" t="s">
        <v>1368</v>
      </c>
      <c r="C109" s="83" t="s">
        <v>241</v>
      </c>
      <c r="D109" t="s">
        <v>1368</v>
      </c>
    </row>
    <row r="110" spans="1:4" x14ac:dyDescent="0.25">
      <c r="A110" s="73" t="s">
        <v>243</v>
      </c>
      <c r="B110" s="80" t="s">
        <v>1369</v>
      </c>
      <c r="C110" s="83" t="s">
        <v>243</v>
      </c>
      <c r="D110" t="s">
        <v>1369</v>
      </c>
    </row>
    <row r="111" spans="1:4" x14ac:dyDescent="0.25">
      <c r="A111" s="73" t="s">
        <v>245</v>
      </c>
      <c r="B111" s="80" t="s">
        <v>1370</v>
      </c>
      <c r="C111" s="83" t="s">
        <v>245</v>
      </c>
      <c r="D111" t="s">
        <v>1370</v>
      </c>
    </row>
    <row r="112" spans="1:4" x14ac:dyDescent="0.25">
      <c r="A112" s="73" t="s">
        <v>247</v>
      </c>
      <c r="B112" s="80" t="s">
        <v>1371</v>
      </c>
      <c r="C112" s="83" t="s">
        <v>247</v>
      </c>
      <c r="D112" t="s">
        <v>1371</v>
      </c>
    </row>
    <row r="113" spans="1:4" x14ac:dyDescent="0.25">
      <c r="A113" s="73" t="s">
        <v>249</v>
      </c>
      <c r="B113" s="80" t="s">
        <v>1372</v>
      </c>
      <c r="C113" s="83" t="s">
        <v>249</v>
      </c>
      <c r="D113" t="s">
        <v>1372</v>
      </c>
    </row>
    <row r="114" spans="1:4" x14ac:dyDescent="0.25">
      <c r="A114" s="73" t="s">
        <v>251</v>
      </c>
      <c r="B114" s="80" t="s">
        <v>1373</v>
      </c>
      <c r="C114" s="83" t="s">
        <v>251</v>
      </c>
      <c r="D114" t="s">
        <v>1373</v>
      </c>
    </row>
    <row r="115" spans="1:4" x14ac:dyDescent="0.25">
      <c r="A115" s="73" t="s">
        <v>253</v>
      </c>
      <c r="B115" s="80" t="s">
        <v>1374</v>
      </c>
      <c r="C115" s="83" t="s">
        <v>253</v>
      </c>
      <c r="D115" t="s">
        <v>1374</v>
      </c>
    </row>
    <row r="116" spans="1:4" x14ac:dyDescent="0.25">
      <c r="A116" s="73" t="s">
        <v>255</v>
      </c>
      <c r="B116" s="80" t="s">
        <v>1375</v>
      </c>
      <c r="C116" s="83" t="s">
        <v>255</v>
      </c>
      <c r="D116" t="s">
        <v>1375</v>
      </c>
    </row>
    <row r="117" spans="1:4" x14ac:dyDescent="0.25">
      <c r="A117" s="73" t="s">
        <v>257</v>
      </c>
      <c r="B117" s="80" t="s">
        <v>1376</v>
      </c>
      <c r="C117" s="83" t="s">
        <v>257</v>
      </c>
      <c r="D117" t="s">
        <v>1376</v>
      </c>
    </row>
    <row r="118" spans="1:4" x14ac:dyDescent="0.25">
      <c r="A118" s="73" t="s">
        <v>259</v>
      </c>
      <c r="B118" s="80" t="s">
        <v>1377</v>
      </c>
      <c r="C118" s="83" t="s">
        <v>259</v>
      </c>
      <c r="D118" t="s">
        <v>1377</v>
      </c>
    </row>
    <row r="119" spans="1:4" x14ac:dyDescent="0.25">
      <c r="A119" s="73" t="s">
        <v>261</v>
      </c>
      <c r="B119" s="80" t="s">
        <v>1378</v>
      </c>
      <c r="C119" s="83" t="s">
        <v>261</v>
      </c>
      <c r="D119" t="s">
        <v>1378</v>
      </c>
    </row>
    <row r="120" spans="1:4" x14ac:dyDescent="0.25">
      <c r="A120" s="73" t="s">
        <v>263</v>
      </c>
      <c r="B120" s="80" t="s">
        <v>1379</v>
      </c>
      <c r="C120" s="83" t="s">
        <v>263</v>
      </c>
      <c r="D120" t="s">
        <v>1379</v>
      </c>
    </row>
    <row r="121" spans="1:4" x14ac:dyDescent="0.25">
      <c r="A121" s="73" t="s">
        <v>265</v>
      </c>
      <c r="B121" s="80" t="s">
        <v>1380</v>
      </c>
      <c r="C121" s="83" t="s">
        <v>265</v>
      </c>
      <c r="D121" t="s">
        <v>1380</v>
      </c>
    </row>
    <row r="122" spans="1:4" x14ac:dyDescent="0.25">
      <c r="A122" s="73" t="s">
        <v>268</v>
      </c>
      <c r="B122" s="80" t="s">
        <v>1381</v>
      </c>
      <c r="C122" s="83" t="s">
        <v>268</v>
      </c>
      <c r="D122" t="s">
        <v>1381</v>
      </c>
    </row>
    <row r="123" spans="1:4" x14ac:dyDescent="0.25">
      <c r="A123" s="73" t="s">
        <v>270</v>
      </c>
      <c r="B123" s="80" t="s">
        <v>1382</v>
      </c>
      <c r="C123" s="83" t="s">
        <v>270</v>
      </c>
      <c r="D123" t="s">
        <v>1382</v>
      </c>
    </row>
    <row r="124" spans="1:4" x14ac:dyDescent="0.25">
      <c r="A124" s="73" t="s">
        <v>272</v>
      </c>
      <c r="B124" s="80" t="s">
        <v>1383</v>
      </c>
      <c r="C124" s="83" t="s">
        <v>272</v>
      </c>
      <c r="D124" t="s">
        <v>1383</v>
      </c>
    </row>
    <row r="125" spans="1:4" x14ac:dyDescent="0.25">
      <c r="A125" s="73" t="s">
        <v>274</v>
      </c>
      <c r="B125" s="80" t="s">
        <v>1384</v>
      </c>
      <c r="C125" s="83" t="s">
        <v>274</v>
      </c>
      <c r="D125" t="s">
        <v>1384</v>
      </c>
    </row>
    <row r="126" spans="1:4" x14ac:dyDescent="0.25">
      <c r="A126" s="73" t="s">
        <v>276</v>
      </c>
      <c r="B126" s="80" t="s">
        <v>1385</v>
      </c>
      <c r="C126" s="83" t="s">
        <v>276</v>
      </c>
      <c r="D126" t="s">
        <v>1385</v>
      </c>
    </row>
    <row r="127" spans="1:4" x14ac:dyDescent="0.25">
      <c r="A127" s="73" t="s">
        <v>278</v>
      </c>
      <c r="B127" s="80" t="s">
        <v>1386</v>
      </c>
      <c r="C127" s="83" t="s">
        <v>278</v>
      </c>
      <c r="D127" t="s">
        <v>1386</v>
      </c>
    </row>
    <row r="128" spans="1:4" x14ac:dyDescent="0.25">
      <c r="A128" s="73" t="s">
        <v>280</v>
      </c>
      <c r="B128" s="80" t="s">
        <v>1387</v>
      </c>
      <c r="C128" s="83" t="s">
        <v>280</v>
      </c>
      <c r="D128" t="s">
        <v>1387</v>
      </c>
    </row>
    <row r="129" spans="1:4" x14ac:dyDescent="0.25">
      <c r="A129" s="73" t="s">
        <v>282</v>
      </c>
      <c r="B129" s="80" t="s">
        <v>1388</v>
      </c>
      <c r="C129" s="83" t="s">
        <v>282</v>
      </c>
      <c r="D129" t="s">
        <v>1388</v>
      </c>
    </row>
    <row r="130" spans="1:4" x14ac:dyDescent="0.25">
      <c r="A130" s="73" t="s">
        <v>284</v>
      </c>
      <c r="B130" s="80" t="s">
        <v>1389</v>
      </c>
      <c r="C130" s="83" t="s">
        <v>284</v>
      </c>
      <c r="D130" t="s">
        <v>1389</v>
      </c>
    </row>
    <row r="131" spans="1:4" x14ac:dyDescent="0.25">
      <c r="A131" s="73" t="s">
        <v>287</v>
      </c>
      <c r="B131" s="80" t="s">
        <v>1390</v>
      </c>
      <c r="C131" s="83" t="s">
        <v>287</v>
      </c>
      <c r="D131" t="s">
        <v>1390</v>
      </c>
    </row>
    <row r="132" spans="1:4" x14ac:dyDescent="0.25">
      <c r="A132" s="73" t="s">
        <v>289</v>
      </c>
      <c r="B132" s="80" t="s">
        <v>1391</v>
      </c>
      <c r="C132" s="83" t="s">
        <v>289</v>
      </c>
      <c r="D132" t="s">
        <v>1391</v>
      </c>
    </row>
    <row r="133" spans="1:4" x14ac:dyDescent="0.25">
      <c r="A133" s="73" t="s">
        <v>291</v>
      </c>
      <c r="B133" s="80" t="s">
        <v>1392</v>
      </c>
      <c r="C133" s="83" t="s">
        <v>291</v>
      </c>
      <c r="D133" t="s">
        <v>1392</v>
      </c>
    </row>
    <row r="134" spans="1:4" x14ac:dyDescent="0.25">
      <c r="A134" s="73" t="s">
        <v>293</v>
      </c>
      <c r="B134" s="80" t="s">
        <v>1393</v>
      </c>
      <c r="C134" s="83" t="s">
        <v>293</v>
      </c>
      <c r="D134" t="s">
        <v>1393</v>
      </c>
    </row>
    <row r="135" spans="1:4" x14ac:dyDescent="0.25">
      <c r="A135" s="73" t="s">
        <v>295</v>
      </c>
      <c r="B135" s="80" t="s">
        <v>1394</v>
      </c>
      <c r="C135" s="83" t="s">
        <v>295</v>
      </c>
      <c r="D135" t="s">
        <v>1394</v>
      </c>
    </row>
    <row r="136" spans="1:4" x14ac:dyDescent="0.25">
      <c r="A136" s="73" t="s">
        <v>297</v>
      </c>
      <c r="B136" s="80" t="s">
        <v>1395</v>
      </c>
      <c r="C136" s="83" t="s">
        <v>297</v>
      </c>
      <c r="D136" t="s">
        <v>1395</v>
      </c>
    </row>
    <row r="137" spans="1:4" x14ac:dyDescent="0.25">
      <c r="A137" s="73" t="s">
        <v>299</v>
      </c>
      <c r="B137" s="80" t="s">
        <v>1396</v>
      </c>
      <c r="C137" s="83" t="s">
        <v>299</v>
      </c>
      <c r="D137" t="s">
        <v>1396</v>
      </c>
    </row>
    <row r="138" spans="1:4" x14ac:dyDescent="0.25">
      <c r="A138" s="73" t="s">
        <v>302</v>
      </c>
      <c r="B138" s="80" t="s">
        <v>1397</v>
      </c>
      <c r="C138" s="83" t="s">
        <v>302</v>
      </c>
      <c r="D138" t="s">
        <v>1397</v>
      </c>
    </row>
    <row r="139" spans="1:4" x14ac:dyDescent="0.25">
      <c r="A139" s="73" t="s">
        <v>304</v>
      </c>
      <c r="B139" s="80" t="s">
        <v>1398</v>
      </c>
      <c r="C139" s="83" t="s">
        <v>304</v>
      </c>
      <c r="D139" t="s">
        <v>1398</v>
      </c>
    </row>
    <row r="140" spans="1:4" x14ac:dyDescent="0.25">
      <c r="A140" s="73" t="s">
        <v>306</v>
      </c>
      <c r="B140" s="80" t="s">
        <v>1399</v>
      </c>
      <c r="C140" s="83" t="s">
        <v>306</v>
      </c>
      <c r="D140" t="s">
        <v>1399</v>
      </c>
    </row>
    <row r="141" spans="1:4" x14ac:dyDescent="0.25">
      <c r="A141" s="73" t="s">
        <v>308</v>
      </c>
      <c r="B141" s="80" t="s">
        <v>1400</v>
      </c>
      <c r="C141" s="83" t="s">
        <v>308</v>
      </c>
      <c r="D141" t="s">
        <v>1400</v>
      </c>
    </row>
    <row r="142" spans="1:4" x14ac:dyDescent="0.25">
      <c r="A142" s="73" t="s">
        <v>310</v>
      </c>
      <c r="B142" s="80" t="s">
        <v>1401</v>
      </c>
      <c r="C142" s="83" t="s">
        <v>310</v>
      </c>
      <c r="D142" t="s">
        <v>1401</v>
      </c>
    </row>
    <row r="143" spans="1:4" x14ac:dyDescent="0.25">
      <c r="A143" s="73" t="s">
        <v>312</v>
      </c>
      <c r="B143" s="80" t="s">
        <v>1402</v>
      </c>
      <c r="C143" s="83" t="s">
        <v>312</v>
      </c>
      <c r="D143" t="s">
        <v>1402</v>
      </c>
    </row>
    <row r="144" spans="1:4" x14ac:dyDescent="0.25">
      <c r="A144" s="73" t="s">
        <v>314</v>
      </c>
      <c r="B144" s="80" t="s">
        <v>1403</v>
      </c>
      <c r="C144" s="83" t="s">
        <v>314</v>
      </c>
      <c r="D144" t="s">
        <v>1403</v>
      </c>
    </row>
    <row r="145" spans="1:4" x14ac:dyDescent="0.25">
      <c r="A145" s="73" t="s">
        <v>316</v>
      </c>
      <c r="B145" s="80" t="s">
        <v>1404</v>
      </c>
      <c r="C145" s="83" t="s">
        <v>316</v>
      </c>
      <c r="D145" t="s">
        <v>1404</v>
      </c>
    </row>
    <row r="146" spans="1:4" x14ac:dyDescent="0.25">
      <c r="A146" s="73" t="s">
        <v>318</v>
      </c>
      <c r="B146" s="80" t="s">
        <v>1405</v>
      </c>
      <c r="C146" s="83" t="s">
        <v>318</v>
      </c>
      <c r="D146" t="s">
        <v>1405</v>
      </c>
    </row>
    <row r="147" spans="1:4" x14ac:dyDescent="0.25">
      <c r="A147" s="73" t="s">
        <v>320</v>
      </c>
      <c r="B147" s="80" t="s">
        <v>1406</v>
      </c>
      <c r="C147" s="83" t="s">
        <v>320</v>
      </c>
      <c r="D147" t="s">
        <v>1406</v>
      </c>
    </row>
    <row r="148" spans="1:4" x14ac:dyDescent="0.25">
      <c r="A148" s="73" t="s">
        <v>322</v>
      </c>
      <c r="B148" s="80" t="s">
        <v>1407</v>
      </c>
      <c r="C148" s="83" t="s">
        <v>322</v>
      </c>
      <c r="D148" t="s">
        <v>1407</v>
      </c>
    </row>
    <row r="149" spans="1:4" x14ac:dyDescent="0.25">
      <c r="A149" s="73" t="s">
        <v>324</v>
      </c>
      <c r="B149" s="80" t="s">
        <v>1408</v>
      </c>
      <c r="C149" s="83" t="s">
        <v>324</v>
      </c>
      <c r="D149" t="s">
        <v>1408</v>
      </c>
    </row>
    <row r="150" spans="1:4" x14ac:dyDescent="0.25">
      <c r="A150" s="73" t="s">
        <v>326</v>
      </c>
      <c r="B150" s="80" t="s">
        <v>1409</v>
      </c>
      <c r="C150" s="83" t="s">
        <v>326</v>
      </c>
      <c r="D150" t="s">
        <v>1409</v>
      </c>
    </row>
    <row r="151" spans="1:4" x14ac:dyDescent="0.25">
      <c r="A151" s="73" t="s">
        <v>328</v>
      </c>
      <c r="B151" s="80" t="s">
        <v>1410</v>
      </c>
      <c r="C151" s="83" t="s">
        <v>328</v>
      </c>
      <c r="D151" t="s">
        <v>1410</v>
      </c>
    </row>
    <row r="152" spans="1:4" x14ac:dyDescent="0.25">
      <c r="A152" s="73" t="s">
        <v>331</v>
      </c>
      <c r="B152" s="80" t="s">
        <v>1411</v>
      </c>
      <c r="C152" s="83" t="s">
        <v>331</v>
      </c>
      <c r="D152" t="s">
        <v>1411</v>
      </c>
    </row>
    <row r="153" spans="1:4" x14ac:dyDescent="0.25">
      <c r="A153" s="73" t="s">
        <v>333</v>
      </c>
      <c r="B153" s="80" t="s">
        <v>1412</v>
      </c>
      <c r="C153" s="83" t="s">
        <v>333</v>
      </c>
      <c r="D153" t="s">
        <v>1412</v>
      </c>
    </row>
    <row r="154" spans="1:4" x14ac:dyDescent="0.25">
      <c r="A154" s="73" t="s">
        <v>335</v>
      </c>
      <c r="B154" s="80" t="s">
        <v>1413</v>
      </c>
      <c r="C154" s="83" t="s">
        <v>335</v>
      </c>
      <c r="D154" t="s">
        <v>1413</v>
      </c>
    </row>
    <row r="155" spans="1:4" x14ac:dyDescent="0.25">
      <c r="A155" s="73" t="s">
        <v>337</v>
      </c>
      <c r="B155" s="80" t="s">
        <v>1414</v>
      </c>
      <c r="C155" s="83" t="s">
        <v>337</v>
      </c>
      <c r="D155" t="s">
        <v>1414</v>
      </c>
    </row>
    <row r="156" spans="1:4" x14ac:dyDescent="0.25">
      <c r="A156" s="73" t="s">
        <v>339</v>
      </c>
      <c r="B156" s="80" t="s">
        <v>1415</v>
      </c>
      <c r="C156" s="83" t="s">
        <v>339</v>
      </c>
      <c r="D156" t="s">
        <v>1415</v>
      </c>
    </row>
    <row r="157" spans="1:4" x14ac:dyDescent="0.25">
      <c r="A157" s="73" t="s">
        <v>341</v>
      </c>
      <c r="B157" s="80" t="s">
        <v>1416</v>
      </c>
      <c r="C157" s="83" t="s">
        <v>341</v>
      </c>
      <c r="D157" t="s">
        <v>1416</v>
      </c>
    </row>
    <row r="158" spans="1:4" x14ac:dyDescent="0.25">
      <c r="A158" s="73" t="s">
        <v>343</v>
      </c>
      <c r="B158" s="80" t="s">
        <v>1417</v>
      </c>
      <c r="C158" s="83" t="s">
        <v>343</v>
      </c>
      <c r="D158" t="s">
        <v>1417</v>
      </c>
    </row>
    <row r="159" spans="1:4" x14ac:dyDescent="0.25">
      <c r="A159" s="73" t="s">
        <v>345</v>
      </c>
      <c r="B159" s="80" t="s">
        <v>1418</v>
      </c>
      <c r="C159" s="83" t="s">
        <v>345</v>
      </c>
      <c r="D159" t="s">
        <v>1418</v>
      </c>
    </row>
    <row r="160" spans="1:4" x14ac:dyDescent="0.25">
      <c r="A160" s="73" t="s">
        <v>347</v>
      </c>
      <c r="B160" s="80" t="s">
        <v>1419</v>
      </c>
      <c r="C160" s="83" t="s">
        <v>347</v>
      </c>
      <c r="D160" t="s">
        <v>1419</v>
      </c>
    </row>
    <row r="161" spans="1:4" x14ac:dyDescent="0.25">
      <c r="A161" s="73" t="s">
        <v>349</v>
      </c>
      <c r="B161" s="80" t="s">
        <v>1420</v>
      </c>
      <c r="C161" s="83" t="s">
        <v>349</v>
      </c>
      <c r="D161" t="s">
        <v>1420</v>
      </c>
    </row>
    <row r="162" spans="1:4" x14ac:dyDescent="0.25">
      <c r="A162" s="73" t="s">
        <v>352</v>
      </c>
      <c r="B162" s="80" t="s">
        <v>1421</v>
      </c>
      <c r="C162" s="83" t="s">
        <v>352</v>
      </c>
      <c r="D162" t="s">
        <v>1421</v>
      </c>
    </row>
    <row r="163" spans="1:4" x14ac:dyDescent="0.25">
      <c r="A163" s="73" t="s">
        <v>354</v>
      </c>
      <c r="B163" s="80" t="s">
        <v>1422</v>
      </c>
      <c r="C163" s="83" t="s">
        <v>354</v>
      </c>
      <c r="D163" t="s">
        <v>1422</v>
      </c>
    </row>
    <row r="164" spans="1:4" x14ac:dyDescent="0.25">
      <c r="A164" s="73" t="s">
        <v>356</v>
      </c>
      <c r="B164" s="80" t="s">
        <v>1423</v>
      </c>
      <c r="C164" s="83" t="s">
        <v>356</v>
      </c>
      <c r="D164" t="s">
        <v>1423</v>
      </c>
    </row>
    <row r="165" spans="1:4" x14ac:dyDescent="0.25">
      <c r="A165" s="73" t="s">
        <v>358</v>
      </c>
      <c r="B165" s="80" t="s">
        <v>1424</v>
      </c>
      <c r="C165" s="83" t="s">
        <v>358</v>
      </c>
      <c r="D165" t="s">
        <v>1424</v>
      </c>
    </row>
    <row r="166" spans="1:4" x14ac:dyDescent="0.25">
      <c r="A166" s="73" t="s">
        <v>360</v>
      </c>
      <c r="B166" s="80" t="s">
        <v>1425</v>
      </c>
      <c r="C166" s="83" t="s">
        <v>360</v>
      </c>
      <c r="D166" t="s">
        <v>1425</v>
      </c>
    </row>
    <row r="167" spans="1:4" x14ac:dyDescent="0.25">
      <c r="A167" s="73" t="s">
        <v>362</v>
      </c>
      <c r="B167" s="80" t="s">
        <v>1426</v>
      </c>
      <c r="C167" s="83" t="s">
        <v>362</v>
      </c>
      <c r="D167" t="s">
        <v>1426</v>
      </c>
    </row>
    <row r="168" spans="1:4" x14ac:dyDescent="0.25">
      <c r="A168" s="73" t="s">
        <v>364</v>
      </c>
      <c r="B168" s="80" t="s">
        <v>1427</v>
      </c>
      <c r="C168" s="83" t="s">
        <v>364</v>
      </c>
      <c r="D168" t="s">
        <v>1427</v>
      </c>
    </row>
    <row r="169" spans="1:4" x14ac:dyDescent="0.25">
      <c r="A169" s="73" t="s">
        <v>366</v>
      </c>
      <c r="B169" s="80" t="s">
        <v>1428</v>
      </c>
      <c r="C169" s="83" t="s">
        <v>366</v>
      </c>
      <c r="D169" t="s">
        <v>1428</v>
      </c>
    </row>
    <row r="170" spans="1:4" x14ac:dyDescent="0.25">
      <c r="A170" s="73" t="s">
        <v>368</v>
      </c>
      <c r="B170" s="80" t="s">
        <v>1429</v>
      </c>
      <c r="C170" s="83" t="s">
        <v>368</v>
      </c>
      <c r="D170" t="s">
        <v>1429</v>
      </c>
    </row>
    <row r="171" spans="1:4" x14ac:dyDescent="0.25">
      <c r="A171" s="73" t="s">
        <v>370</v>
      </c>
      <c r="B171" s="80" t="s">
        <v>1430</v>
      </c>
      <c r="C171" s="83" t="s">
        <v>370</v>
      </c>
      <c r="D171" t="s">
        <v>1430</v>
      </c>
    </row>
    <row r="172" spans="1:4" x14ac:dyDescent="0.25">
      <c r="A172" s="73" t="s">
        <v>372</v>
      </c>
      <c r="B172" s="80" t="s">
        <v>1431</v>
      </c>
      <c r="C172" s="83" t="s">
        <v>372</v>
      </c>
      <c r="D172" t="s">
        <v>1431</v>
      </c>
    </row>
    <row r="173" spans="1:4" x14ac:dyDescent="0.25">
      <c r="A173" s="73" t="s">
        <v>374</v>
      </c>
      <c r="B173" s="80" t="s">
        <v>1432</v>
      </c>
      <c r="C173" s="83" t="s">
        <v>374</v>
      </c>
      <c r="D173" t="s">
        <v>1432</v>
      </c>
    </row>
    <row r="174" spans="1:4" x14ac:dyDescent="0.25">
      <c r="A174" s="73" t="s">
        <v>376</v>
      </c>
      <c r="B174" s="80" t="s">
        <v>1433</v>
      </c>
      <c r="C174" s="83" t="s">
        <v>376</v>
      </c>
      <c r="D174" t="s">
        <v>1433</v>
      </c>
    </row>
    <row r="175" spans="1:4" x14ac:dyDescent="0.25">
      <c r="A175" s="73" t="s">
        <v>378</v>
      </c>
      <c r="B175" s="80" t="s">
        <v>1434</v>
      </c>
      <c r="C175" s="83" t="s">
        <v>378</v>
      </c>
      <c r="D175" t="s">
        <v>1434</v>
      </c>
    </row>
    <row r="176" spans="1:4" x14ac:dyDescent="0.25">
      <c r="A176" s="73" t="s">
        <v>381</v>
      </c>
      <c r="B176" s="80" t="s">
        <v>1435</v>
      </c>
      <c r="C176" s="83" t="s">
        <v>381</v>
      </c>
      <c r="D176" t="s">
        <v>1435</v>
      </c>
    </row>
    <row r="177" spans="1:4" x14ac:dyDescent="0.25">
      <c r="A177" s="73" t="s">
        <v>383</v>
      </c>
      <c r="B177" s="80" t="s">
        <v>1436</v>
      </c>
      <c r="C177" s="83" t="s">
        <v>383</v>
      </c>
      <c r="D177" t="s">
        <v>1436</v>
      </c>
    </row>
    <row r="178" spans="1:4" x14ac:dyDescent="0.25">
      <c r="A178" s="73" t="s">
        <v>385</v>
      </c>
      <c r="B178" s="80" t="s">
        <v>1437</v>
      </c>
      <c r="C178" s="83" t="s">
        <v>385</v>
      </c>
      <c r="D178" t="s">
        <v>1437</v>
      </c>
    </row>
    <row r="179" spans="1:4" x14ac:dyDescent="0.25">
      <c r="A179" s="73" t="s">
        <v>387</v>
      </c>
      <c r="B179" s="80" t="s">
        <v>1438</v>
      </c>
      <c r="C179" s="83" t="s">
        <v>387</v>
      </c>
      <c r="D179" t="s">
        <v>1438</v>
      </c>
    </row>
    <row r="180" spans="1:4" x14ac:dyDescent="0.25">
      <c r="A180" s="73" t="s">
        <v>389</v>
      </c>
      <c r="B180" s="80" t="s">
        <v>1439</v>
      </c>
      <c r="C180" s="83" t="s">
        <v>389</v>
      </c>
      <c r="D180" t="s">
        <v>1439</v>
      </c>
    </row>
    <row r="181" spans="1:4" x14ac:dyDescent="0.25">
      <c r="A181" s="73" t="s">
        <v>391</v>
      </c>
      <c r="B181" s="80" t="s">
        <v>1440</v>
      </c>
      <c r="C181" s="83" t="s">
        <v>391</v>
      </c>
      <c r="D181" t="s">
        <v>1440</v>
      </c>
    </row>
    <row r="182" spans="1:4" x14ac:dyDescent="0.25">
      <c r="A182" s="73" t="s">
        <v>393</v>
      </c>
      <c r="B182" s="80" t="s">
        <v>1441</v>
      </c>
      <c r="C182" s="83" t="s">
        <v>393</v>
      </c>
      <c r="D182" t="s">
        <v>1441</v>
      </c>
    </row>
    <row r="183" spans="1:4" x14ac:dyDescent="0.25">
      <c r="A183" s="73" t="s">
        <v>395</v>
      </c>
      <c r="B183" s="80" t="s">
        <v>1442</v>
      </c>
      <c r="C183" s="83" t="s">
        <v>395</v>
      </c>
      <c r="D183" t="s">
        <v>1442</v>
      </c>
    </row>
    <row r="184" spans="1:4" x14ac:dyDescent="0.25">
      <c r="A184" s="73" t="s">
        <v>397</v>
      </c>
      <c r="B184" s="80" t="s">
        <v>1443</v>
      </c>
      <c r="C184" s="83" t="s">
        <v>397</v>
      </c>
      <c r="D184" t="s">
        <v>1443</v>
      </c>
    </row>
    <row r="185" spans="1:4" x14ac:dyDescent="0.25">
      <c r="A185" s="73" t="s">
        <v>399</v>
      </c>
      <c r="B185" s="80" t="s">
        <v>1444</v>
      </c>
      <c r="C185" s="83" t="s">
        <v>399</v>
      </c>
      <c r="D185" t="s">
        <v>1444</v>
      </c>
    </row>
    <row r="186" spans="1:4" x14ac:dyDescent="0.25">
      <c r="A186" s="73" t="s">
        <v>401</v>
      </c>
      <c r="B186" s="80" t="s">
        <v>1445</v>
      </c>
      <c r="C186" s="83" t="s">
        <v>401</v>
      </c>
      <c r="D186" t="s">
        <v>1445</v>
      </c>
    </row>
    <row r="187" spans="1:4" x14ac:dyDescent="0.25">
      <c r="A187" s="73" t="s">
        <v>406</v>
      </c>
      <c r="B187" s="80" t="s">
        <v>1446</v>
      </c>
      <c r="C187" s="83" t="s">
        <v>406</v>
      </c>
      <c r="D187" t="s">
        <v>1446</v>
      </c>
    </row>
    <row r="188" spans="1:4" x14ac:dyDescent="0.25">
      <c r="A188" s="73" t="s">
        <v>408</v>
      </c>
      <c r="B188" s="80" t="s">
        <v>1447</v>
      </c>
      <c r="C188" s="83" t="s">
        <v>408</v>
      </c>
      <c r="D188" t="s">
        <v>1447</v>
      </c>
    </row>
    <row r="189" spans="1:4" x14ac:dyDescent="0.25">
      <c r="A189" s="73" t="s">
        <v>410</v>
      </c>
      <c r="B189" s="80" t="s">
        <v>1448</v>
      </c>
      <c r="C189" s="83" t="s">
        <v>410</v>
      </c>
      <c r="D189" t="s">
        <v>1448</v>
      </c>
    </row>
    <row r="190" spans="1:4" x14ac:dyDescent="0.25">
      <c r="A190" s="73" t="s">
        <v>412</v>
      </c>
      <c r="B190" s="80" t="s">
        <v>1449</v>
      </c>
      <c r="C190" s="83" t="s">
        <v>412</v>
      </c>
      <c r="D190" t="s">
        <v>1449</v>
      </c>
    </row>
    <row r="191" spans="1:4" x14ac:dyDescent="0.25">
      <c r="A191" s="73" t="s">
        <v>414</v>
      </c>
      <c r="B191" s="80" t="s">
        <v>1450</v>
      </c>
      <c r="C191" s="83" t="s">
        <v>414</v>
      </c>
      <c r="D191" t="s">
        <v>1450</v>
      </c>
    </row>
    <row r="192" spans="1:4" x14ac:dyDescent="0.25">
      <c r="A192" s="73" t="s">
        <v>416</v>
      </c>
      <c r="B192" s="80" t="s">
        <v>1451</v>
      </c>
      <c r="C192" s="83" t="s">
        <v>416</v>
      </c>
      <c r="D192" t="s">
        <v>1451</v>
      </c>
    </row>
    <row r="193" spans="1:4" x14ac:dyDescent="0.25">
      <c r="A193" s="73" t="s">
        <v>418</v>
      </c>
      <c r="B193" s="80" t="s">
        <v>1452</v>
      </c>
      <c r="C193" s="83" t="s">
        <v>418</v>
      </c>
      <c r="D193" t="s">
        <v>1452</v>
      </c>
    </row>
    <row r="194" spans="1:4" x14ac:dyDescent="0.25">
      <c r="A194" s="73" t="s">
        <v>420</v>
      </c>
      <c r="B194" s="80" t="s">
        <v>1453</v>
      </c>
      <c r="C194" s="83" t="s">
        <v>420</v>
      </c>
      <c r="D194" t="s">
        <v>1453</v>
      </c>
    </row>
    <row r="195" spans="1:4" x14ac:dyDescent="0.25">
      <c r="A195" s="73" t="s">
        <v>422</v>
      </c>
      <c r="B195" s="80" t="s">
        <v>1454</v>
      </c>
      <c r="C195" s="83" t="s">
        <v>422</v>
      </c>
      <c r="D195" t="s">
        <v>1454</v>
      </c>
    </row>
    <row r="196" spans="1:4" x14ac:dyDescent="0.25">
      <c r="A196" s="73" t="s">
        <v>424</v>
      </c>
      <c r="B196" s="80" t="s">
        <v>1455</v>
      </c>
      <c r="C196" s="83" t="s">
        <v>424</v>
      </c>
      <c r="D196" t="s">
        <v>1455</v>
      </c>
    </row>
    <row r="197" spans="1:4" x14ac:dyDescent="0.25">
      <c r="A197" s="73" t="s">
        <v>426</v>
      </c>
      <c r="B197" s="80" t="s">
        <v>1456</v>
      </c>
      <c r="C197" s="83" t="s">
        <v>426</v>
      </c>
      <c r="D197" t="s">
        <v>1456</v>
      </c>
    </row>
    <row r="198" spans="1:4" x14ac:dyDescent="0.25">
      <c r="A198" s="73" t="s">
        <v>428</v>
      </c>
      <c r="B198" s="80" t="s">
        <v>1457</v>
      </c>
      <c r="C198" s="83" t="s">
        <v>428</v>
      </c>
      <c r="D198" t="s">
        <v>1457</v>
      </c>
    </row>
    <row r="199" spans="1:4" x14ac:dyDescent="0.25">
      <c r="A199" s="73" t="s">
        <v>430</v>
      </c>
      <c r="B199" s="80" t="s">
        <v>1458</v>
      </c>
      <c r="C199" s="83" t="s">
        <v>430</v>
      </c>
      <c r="D199" t="s">
        <v>1458</v>
      </c>
    </row>
    <row r="200" spans="1:4" x14ac:dyDescent="0.25">
      <c r="A200" s="73" t="s">
        <v>433</v>
      </c>
      <c r="B200" s="80" t="s">
        <v>1459</v>
      </c>
      <c r="C200" s="83" t="s">
        <v>433</v>
      </c>
      <c r="D200" t="s">
        <v>1459</v>
      </c>
    </row>
    <row r="201" spans="1:4" x14ac:dyDescent="0.25">
      <c r="A201" s="73" t="s">
        <v>435</v>
      </c>
      <c r="B201" s="80" t="s">
        <v>1460</v>
      </c>
      <c r="C201" s="83" t="s">
        <v>435</v>
      </c>
      <c r="D201" t="s">
        <v>1460</v>
      </c>
    </row>
    <row r="202" spans="1:4" x14ac:dyDescent="0.25">
      <c r="A202" s="73" t="s">
        <v>437</v>
      </c>
      <c r="B202" s="80" t="s">
        <v>1461</v>
      </c>
      <c r="C202" s="83" t="s">
        <v>437</v>
      </c>
      <c r="D202" t="s">
        <v>1461</v>
      </c>
    </row>
    <row r="203" spans="1:4" x14ac:dyDescent="0.25">
      <c r="A203" s="73" t="s">
        <v>439</v>
      </c>
      <c r="B203" s="80" t="s">
        <v>1462</v>
      </c>
      <c r="C203" s="83" t="s">
        <v>439</v>
      </c>
      <c r="D203" t="s">
        <v>1462</v>
      </c>
    </row>
    <row r="204" spans="1:4" x14ac:dyDescent="0.25">
      <c r="A204" s="73" t="s">
        <v>441</v>
      </c>
      <c r="B204" s="80" t="s">
        <v>1463</v>
      </c>
      <c r="C204" s="83" t="s">
        <v>441</v>
      </c>
      <c r="D204" t="s">
        <v>1463</v>
      </c>
    </row>
    <row r="205" spans="1:4" x14ac:dyDescent="0.25">
      <c r="A205" s="73" t="s">
        <v>443</v>
      </c>
      <c r="B205" s="80" t="s">
        <v>1464</v>
      </c>
      <c r="C205" s="83" t="s">
        <v>443</v>
      </c>
      <c r="D205" t="s">
        <v>1464</v>
      </c>
    </row>
    <row r="206" spans="1:4" x14ac:dyDescent="0.25">
      <c r="A206" s="73" t="s">
        <v>445</v>
      </c>
      <c r="B206" s="80" t="s">
        <v>1465</v>
      </c>
      <c r="C206" s="83" t="s">
        <v>445</v>
      </c>
      <c r="D206" t="s">
        <v>1465</v>
      </c>
    </row>
    <row r="207" spans="1:4" x14ac:dyDescent="0.25">
      <c r="A207" s="73" t="s">
        <v>447</v>
      </c>
      <c r="B207" s="80" t="s">
        <v>1466</v>
      </c>
      <c r="C207" s="83" t="s">
        <v>447</v>
      </c>
      <c r="D207" t="s">
        <v>1466</v>
      </c>
    </row>
    <row r="208" spans="1:4" x14ac:dyDescent="0.25">
      <c r="A208" s="73" t="s">
        <v>449</v>
      </c>
      <c r="B208" s="80" t="s">
        <v>1467</v>
      </c>
      <c r="C208" s="83" t="s">
        <v>449</v>
      </c>
      <c r="D208" t="s">
        <v>1467</v>
      </c>
    </row>
    <row r="209" spans="1:4" x14ac:dyDescent="0.25">
      <c r="A209" s="73" t="s">
        <v>452</v>
      </c>
      <c r="B209" s="80" t="s">
        <v>1468</v>
      </c>
      <c r="C209" s="83" t="s">
        <v>452</v>
      </c>
      <c r="D209" t="s">
        <v>1468</v>
      </c>
    </row>
    <row r="210" spans="1:4" x14ac:dyDescent="0.25">
      <c r="A210" s="73" t="s">
        <v>454</v>
      </c>
      <c r="B210" s="80" t="s">
        <v>1374</v>
      </c>
      <c r="C210" s="83" t="s">
        <v>454</v>
      </c>
      <c r="D210" t="s">
        <v>1374</v>
      </c>
    </row>
    <row r="211" spans="1:4" x14ac:dyDescent="0.25">
      <c r="A211" s="73" t="s">
        <v>456</v>
      </c>
      <c r="B211" s="80" t="s">
        <v>1469</v>
      </c>
      <c r="C211" s="83" t="s">
        <v>456</v>
      </c>
      <c r="D211" t="s">
        <v>1469</v>
      </c>
    </row>
    <row r="212" spans="1:4" x14ac:dyDescent="0.25">
      <c r="A212" s="73" t="s">
        <v>458</v>
      </c>
      <c r="B212" s="80" t="s">
        <v>1470</v>
      </c>
      <c r="C212" s="83" t="s">
        <v>458</v>
      </c>
      <c r="D212" t="s">
        <v>1470</v>
      </c>
    </row>
    <row r="213" spans="1:4" x14ac:dyDescent="0.25">
      <c r="A213" s="73" t="s">
        <v>460</v>
      </c>
      <c r="B213" s="80" t="s">
        <v>1471</v>
      </c>
      <c r="C213" s="83" t="s">
        <v>460</v>
      </c>
      <c r="D213" t="s">
        <v>1471</v>
      </c>
    </row>
    <row r="214" spans="1:4" x14ac:dyDescent="0.25">
      <c r="A214" s="73" t="s">
        <v>462</v>
      </c>
      <c r="B214" s="80" t="s">
        <v>1472</v>
      </c>
      <c r="C214" s="83" t="s">
        <v>462</v>
      </c>
      <c r="D214" t="s">
        <v>1472</v>
      </c>
    </row>
    <row r="215" spans="1:4" x14ac:dyDescent="0.25">
      <c r="A215" s="73" t="s">
        <v>464</v>
      </c>
      <c r="B215" s="80" t="s">
        <v>1473</v>
      </c>
      <c r="C215" s="83" t="s">
        <v>464</v>
      </c>
      <c r="D215" t="s">
        <v>1473</v>
      </c>
    </row>
    <row r="216" spans="1:4" x14ac:dyDescent="0.25">
      <c r="A216" s="73" t="s">
        <v>466</v>
      </c>
      <c r="B216" s="80" t="s">
        <v>1474</v>
      </c>
      <c r="C216" s="83" t="s">
        <v>466</v>
      </c>
      <c r="D216" t="s">
        <v>1474</v>
      </c>
    </row>
    <row r="217" spans="1:4" x14ac:dyDescent="0.25">
      <c r="A217" s="73" t="s">
        <v>468</v>
      </c>
      <c r="B217" s="80" t="s">
        <v>1475</v>
      </c>
      <c r="C217" s="83" t="s">
        <v>468</v>
      </c>
      <c r="D217" t="s">
        <v>1475</v>
      </c>
    </row>
    <row r="218" spans="1:4" x14ac:dyDescent="0.25">
      <c r="A218" s="73" t="s">
        <v>470</v>
      </c>
      <c r="B218" s="80" t="s">
        <v>1476</v>
      </c>
      <c r="C218" s="83" t="s">
        <v>470</v>
      </c>
      <c r="D218" t="s">
        <v>1476</v>
      </c>
    </row>
    <row r="219" spans="1:4" x14ac:dyDescent="0.25">
      <c r="A219" s="73" t="s">
        <v>472</v>
      </c>
      <c r="B219" s="80" t="s">
        <v>1477</v>
      </c>
      <c r="C219" s="83" t="s">
        <v>472</v>
      </c>
      <c r="D219" t="s">
        <v>1477</v>
      </c>
    </row>
    <row r="220" spans="1:4" x14ac:dyDescent="0.25">
      <c r="A220" s="73" t="s">
        <v>475</v>
      </c>
      <c r="B220" s="80" t="s">
        <v>1478</v>
      </c>
      <c r="C220" s="83" t="s">
        <v>475</v>
      </c>
      <c r="D220" t="s">
        <v>1478</v>
      </c>
    </row>
    <row r="221" spans="1:4" x14ac:dyDescent="0.25">
      <c r="A221" s="73" t="s">
        <v>477</v>
      </c>
      <c r="B221" s="80" t="s">
        <v>1479</v>
      </c>
      <c r="C221" s="83" t="s">
        <v>477</v>
      </c>
      <c r="D221" t="s">
        <v>1479</v>
      </c>
    </row>
    <row r="222" spans="1:4" x14ac:dyDescent="0.25">
      <c r="A222" s="73" t="s">
        <v>479</v>
      </c>
      <c r="B222" s="80" t="s">
        <v>1480</v>
      </c>
      <c r="C222" s="83" t="s">
        <v>479</v>
      </c>
      <c r="D222" t="s">
        <v>1480</v>
      </c>
    </row>
    <row r="223" spans="1:4" x14ac:dyDescent="0.25">
      <c r="A223" s="73" t="s">
        <v>481</v>
      </c>
      <c r="B223" s="80" t="s">
        <v>1481</v>
      </c>
      <c r="C223" s="83" t="s">
        <v>481</v>
      </c>
      <c r="D223" t="s">
        <v>1481</v>
      </c>
    </row>
    <row r="224" spans="1:4" x14ac:dyDescent="0.25">
      <c r="A224" s="73" t="s">
        <v>483</v>
      </c>
      <c r="B224" s="80" t="s">
        <v>1482</v>
      </c>
      <c r="C224" s="83" t="s">
        <v>483</v>
      </c>
      <c r="D224" t="s">
        <v>1482</v>
      </c>
    </row>
    <row r="225" spans="1:4" x14ac:dyDescent="0.25">
      <c r="A225" s="73" t="s">
        <v>485</v>
      </c>
      <c r="B225" s="80" t="s">
        <v>1483</v>
      </c>
      <c r="C225" s="83" t="s">
        <v>485</v>
      </c>
      <c r="D225" t="s">
        <v>1483</v>
      </c>
    </row>
    <row r="226" spans="1:4" x14ac:dyDescent="0.25">
      <c r="A226" s="73" t="s">
        <v>487</v>
      </c>
      <c r="B226" s="80" t="s">
        <v>1484</v>
      </c>
      <c r="C226" s="83" t="s">
        <v>487</v>
      </c>
      <c r="D226" t="s">
        <v>1484</v>
      </c>
    </row>
    <row r="227" spans="1:4" x14ac:dyDescent="0.25">
      <c r="A227" s="73" t="s">
        <v>489</v>
      </c>
      <c r="B227" s="80" t="s">
        <v>1485</v>
      </c>
      <c r="C227" s="83" t="s">
        <v>489</v>
      </c>
      <c r="D227" t="s">
        <v>1485</v>
      </c>
    </row>
    <row r="228" spans="1:4" x14ac:dyDescent="0.25">
      <c r="A228" s="73" t="s">
        <v>491</v>
      </c>
      <c r="B228" s="80" t="s">
        <v>1486</v>
      </c>
      <c r="C228" s="83" t="s">
        <v>491</v>
      </c>
      <c r="D228" t="s">
        <v>1486</v>
      </c>
    </row>
    <row r="229" spans="1:4" x14ac:dyDescent="0.25">
      <c r="A229" s="73" t="s">
        <v>493</v>
      </c>
      <c r="B229" s="80" t="s">
        <v>1487</v>
      </c>
      <c r="C229" s="83" t="s">
        <v>493</v>
      </c>
      <c r="D229" t="s">
        <v>1487</v>
      </c>
    </row>
    <row r="230" spans="1:4" x14ac:dyDescent="0.25">
      <c r="A230" s="73" t="s">
        <v>495</v>
      </c>
      <c r="B230" s="80" t="s">
        <v>1488</v>
      </c>
      <c r="C230" s="83" t="s">
        <v>495</v>
      </c>
      <c r="D230" t="s">
        <v>1488</v>
      </c>
    </row>
    <row r="231" spans="1:4" x14ac:dyDescent="0.25">
      <c r="A231" s="73" t="s">
        <v>498</v>
      </c>
      <c r="B231" s="80" t="s">
        <v>1489</v>
      </c>
      <c r="C231" s="83" t="s">
        <v>498</v>
      </c>
      <c r="D231" t="s">
        <v>1489</v>
      </c>
    </row>
    <row r="232" spans="1:4" x14ac:dyDescent="0.25">
      <c r="A232" s="73" t="s">
        <v>500</v>
      </c>
      <c r="B232" s="80" t="s">
        <v>1490</v>
      </c>
      <c r="C232" s="83" t="s">
        <v>500</v>
      </c>
      <c r="D232" t="s">
        <v>1490</v>
      </c>
    </row>
    <row r="233" spans="1:4" x14ac:dyDescent="0.25">
      <c r="A233" s="73" t="s">
        <v>502</v>
      </c>
      <c r="B233" s="80" t="s">
        <v>1491</v>
      </c>
      <c r="C233" s="83" t="s">
        <v>502</v>
      </c>
      <c r="D233" t="s">
        <v>1491</v>
      </c>
    </row>
    <row r="234" spans="1:4" x14ac:dyDescent="0.25">
      <c r="A234" s="73" t="s">
        <v>504</v>
      </c>
      <c r="B234" s="80" t="s">
        <v>1492</v>
      </c>
      <c r="C234" s="83" t="s">
        <v>504</v>
      </c>
      <c r="D234" t="s">
        <v>1492</v>
      </c>
    </row>
    <row r="235" spans="1:4" x14ac:dyDescent="0.25">
      <c r="A235" s="73" t="s">
        <v>506</v>
      </c>
      <c r="B235" s="80" t="s">
        <v>1493</v>
      </c>
      <c r="C235" s="83" t="s">
        <v>506</v>
      </c>
      <c r="D235" t="s">
        <v>1493</v>
      </c>
    </row>
    <row r="236" spans="1:4" x14ac:dyDescent="0.25">
      <c r="A236" s="73" t="s">
        <v>508</v>
      </c>
      <c r="B236" s="80" t="s">
        <v>1494</v>
      </c>
      <c r="C236" s="83" t="s">
        <v>508</v>
      </c>
      <c r="D236" t="s">
        <v>1494</v>
      </c>
    </row>
    <row r="237" spans="1:4" x14ac:dyDescent="0.25">
      <c r="A237" s="73" t="s">
        <v>510</v>
      </c>
      <c r="B237" s="80" t="s">
        <v>1495</v>
      </c>
      <c r="C237" s="83" t="s">
        <v>510</v>
      </c>
      <c r="D237" t="s">
        <v>1495</v>
      </c>
    </row>
    <row r="238" spans="1:4" x14ac:dyDescent="0.25">
      <c r="A238" s="73" t="s">
        <v>512</v>
      </c>
      <c r="B238" s="80" t="s">
        <v>1496</v>
      </c>
      <c r="C238" s="83" t="s">
        <v>512</v>
      </c>
      <c r="D238" t="s">
        <v>1496</v>
      </c>
    </row>
    <row r="239" spans="1:4" x14ac:dyDescent="0.25">
      <c r="A239" s="73" t="s">
        <v>514</v>
      </c>
      <c r="B239" s="80" t="s">
        <v>1497</v>
      </c>
      <c r="C239" s="83" t="s">
        <v>514</v>
      </c>
      <c r="D239" t="s">
        <v>1497</v>
      </c>
    </row>
    <row r="240" spans="1:4" x14ac:dyDescent="0.25">
      <c r="A240" s="73" t="s">
        <v>516</v>
      </c>
      <c r="B240" s="80" t="s">
        <v>1498</v>
      </c>
      <c r="C240" s="83" t="s">
        <v>516</v>
      </c>
      <c r="D240" t="s">
        <v>1498</v>
      </c>
    </row>
    <row r="241" spans="1:4" x14ac:dyDescent="0.25">
      <c r="A241" s="73" t="s">
        <v>518</v>
      </c>
      <c r="B241" s="80" t="s">
        <v>1499</v>
      </c>
      <c r="C241" s="83" t="s">
        <v>518</v>
      </c>
      <c r="D241" t="s">
        <v>1499</v>
      </c>
    </row>
    <row r="242" spans="1:4" x14ac:dyDescent="0.25">
      <c r="A242" s="73" t="s">
        <v>520</v>
      </c>
      <c r="B242" s="80" t="s">
        <v>1500</v>
      </c>
      <c r="C242" s="83" t="s">
        <v>520</v>
      </c>
      <c r="D242" t="s">
        <v>1500</v>
      </c>
    </row>
    <row r="243" spans="1:4" x14ac:dyDescent="0.25">
      <c r="A243" s="73" t="s">
        <v>522</v>
      </c>
      <c r="B243" s="80" t="s">
        <v>1501</v>
      </c>
      <c r="C243" s="83" t="s">
        <v>522</v>
      </c>
      <c r="D243" t="s">
        <v>1501</v>
      </c>
    </row>
    <row r="244" spans="1:4" x14ac:dyDescent="0.25">
      <c r="A244" s="73" t="s">
        <v>525</v>
      </c>
      <c r="B244" s="80" t="s">
        <v>1502</v>
      </c>
      <c r="C244" s="83" t="s">
        <v>525</v>
      </c>
      <c r="D244" t="s">
        <v>1502</v>
      </c>
    </row>
    <row r="245" spans="1:4" x14ac:dyDescent="0.25">
      <c r="A245" s="73" t="s">
        <v>527</v>
      </c>
      <c r="B245" s="80" t="s">
        <v>1503</v>
      </c>
      <c r="C245" s="83" t="s">
        <v>527</v>
      </c>
      <c r="D245" t="s">
        <v>1503</v>
      </c>
    </row>
    <row r="246" spans="1:4" x14ac:dyDescent="0.25">
      <c r="A246" s="73" t="s">
        <v>529</v>
      </c>
      <c r="B246" s="80" t="s">
        <v>1504</v>
      </c>
      <c r="C246" s="83" t="s">
        <v>529</v>
      </c>
      <c r="D246" t="s">
        <v>1504</v>
      </c>
    </row>
    <row r="247" spans="1:4" x14ac:dyDescent="0.25">
      <c r="A247" s="73" t="s">
        <v>531</v>
      </c>
      <c r="B247" s="80" t="s">
        <v>1505</v>
      </c>
      <c r="C247" s="83" t="s">
        <v>531</v>
      </c>
      <c r="D247" t="s">
        <v>1505</v>
      </c>
    </row>
    <row r="248" spans="1:4" x14ac:dyDescent="0.25">
      <c r="A248" s="73" t="s">
        <v>533</v>
      </c>
      <c r="B248" s="80" t="s">
        <v>1506</v>
      </c>
      <c r="C248" s="83" t="s">
        <v>533</v>
      </c>
      <c r="D248" t="s">
        <v>1506</v>
      </c>
    </row>
    <row r="249" spans="1:4" x14ac:dyDescent="0.25">
      <c r="A249" s="73" t="s">
        <v>535</v>
      </c>
      <c r="B249" s="80" t="s">
        <v>1507</v>
      </c>
      <c r="C249" s="83" t="s">
        <v>535</v>
      </c>
      <c r="D249" t="s">
        <v>1507</v>
      </c>
    </row>
    <row r="250" spans="1:4" x14ac:dyDescent="0.25">
      <c r="A250" s="73" t="s">
        <v>537</v>
      </c>
      <c r="B250" s="80" t="s">
        <v>1508</v>
      </c>
      <c r="C250" s="83" t="s">
        <v>537</v>
      </c>
      <c r="D250" t="s">
        <v>1508</v>
      </c>
    </row>
    <row r="251" spans="1:4" x14ac:dyDescent="0.25">
      <c r="A251" s="73" t="s">
        <v>1176</v>
      </c>
      <c r="B251" s="80" t="s">
        <v>1509</v>
      </c>
      <c r="C251" s="83" t="s">
        <v>1176</v>
      </c>
      <c r="D251" t="s">
        <v>1509</v>
      </c>
    </row>
    <row r="252" spans="1:4" x14ac:dyDescent="0.25">
      <c r="A252" s="73" t="s">
        <v>1180</v>
      </c>
      <c r="B252" s="80" t="s">
        <v>1510</v>
      </c>
      <c r="C252" s="83" t="s">
        <v>1180</v>
      </c>
      <c r="D252" t="s">
        <v>1510</v>
      </c>
    </row>
    <row r="253" spans="1:4" x14ac:dyDescent="0.25">
      <c r="A253" s="73" t="s">
        <v>1183</v>
      </c>
      <c r="B253" s="80" t="s">
        <v>1511</v>
      </c>
      <c r="C253" s="83" t="s">
        <v>1183</v>
      </c>
      <c r="D253" t="s">
        <v>1511</v>
      </c>
    </row>
    <row r="254" spans="1:4" x14ac:dyDescent="0.25">
      <c r="A254" s="73" t="s">
        <v>1186</v>
      </c>
      <c r="B254" s="80" t="s">
        <v>1512</v>
      </c>
      <c r="C254" s="83" t="s">
        <v>1186</v>
      </c>
      <c r="D254" t="s">
        <v>1512</v>
      </c>
    </row>
    <row r="255" spans="1:4" x14ac:dyDescent="0.25">
      <c r="A255" s="73" t="s">
        <v>1189</v>
      </c>
      <c r="B255" s="80" t="s">
        <v>1513</v>
      </c>
      <c r="C255" s="83" t="s">
        <v>1189</v>
      </c>
      <c r="D255" t="s">
        <v>1513</v>
      </c>
    </row>
    <row r="256" spans="1:4" x14ac:dyDescent="0.25">
      <c r="A256" s="73" t="s">
        <v>1192</v>
      </c>
      <c r="B256" s="80" t="s">
        <v>1514</v>
      </c>
      <c r="C256" s="83" t="s">
        <v>1192</v>
      </c>
      <c r="D256" t="s">
        <v>1514</v>
      </c>
    </row>
    <row r="257" spans="1:4" x14ac:dyDescent="0.25">
      <c r="A257" s="73" t="s">
        <v>1195</v>
      </c>
      <c r="B257" s="80" t="s">
        <v>1515</v>
      </c>
      <c r="C257" s="83" t="s">
        <v>1195</v>
      </c>
      <c r="D257" t="s">
        <v>1515</v>
      </c>
    </row>
    <row r="258" spans="1:4" x14ac:dyDescent="0.25">
      <c r="A258" s="73" t="s">
        <v>1198</v>
      </c>
      <c r="B258" s="80" t="s">
        <v>1516</v>
      </c>
      <c r="C258" s="83" t="s">
        <v>1198</v>
      </c>
      <c r="D258" t="s">
        <v>1516</v>
      </c>
    </row>
    <row r="259" spans="1:4" x14ac:dyDescent="0.25">
      <c r="A259" s="73" t="s">
        <v>1201</v>
      </c>
      <c r="B259" s="80" t="s">
        <v>1517</v>
      </c>
      <c r="C259" s="83" t="s">
        <v>1201</v>
      </c>
      <c r="D259" t="s">
        <v>1517</v>
      </c>
    </row>
    <row r="260" spans="1:4" x14ac:dyDescent="0.25">
      <c r="A260" s="73" t="s">
        <v>1203</v>
      </c>
      <c r="B260" s="80" t="s">
        <v>1518</v>
      </c>
      <c r="C260" s="83" t="s">
        <v>1203</v>
      </c>
      <c r="D260" t="s">
        <v>1518</v>
      </c>
    </row>
    <row r="261" spans="1:4" x14ac:dyDescent="0.25">
      <c r="A261" s="73" t="s">
        <v>1206</v>
      </c>
      <c r="B261" s="80" t="s">
        <v>1519</v>
      </c>
      <c r="C261" s="83" t="s">
        <v>1206</v>
      </c>
      <c r="D261" t="s">
        <v>1519</v>
      </c>
    </row>
    <row r="262" spans="1:4" x14ac:dyDescent="0.25">
      <c r="A262" s="73" t="s">
        <v>1208</v>
      </c>
      <c r="B262" s="80" t="s">
        <v>1520</v>
      </c>
      <c r="C262" s="83" t="s">
        <v>1208</v>
      </c>
      <c r="D262" t="s">
        <v>1520</v>
      </c>
    </row>
    <row r="263" spans="1:4" x14ac:dyDescent="0.25">
      <c r="A263" s="73" t="s">
        <v>1211</v>
      </c>
      <c r="B263" s="80" t="s">
        <v>1521</v>
      </c>
      <c r="C263" s="83" t="s">
        <v>1211</v>
      </c>
      <c r="D263" t="s">
        <v>1521</v>
      </c>
    </row>
    <row r="264" spans="1:4" x14ac:dyDescent="0.25">
      <c r="A264" s="73" t="s">
        <v>1213</v>
      </c>
      <c r="B264" s="80" t="s">
        <v>1522</v>
      </c>
      <c r="C264" s="83" t="s">
        <v>1213</v>
      </c>
      <c r="D264" t="s">
        <v>1522</v>
      </c>
    </row>
    <row r="265" spans="1:4" x14ac:dyDescent="0.25">
      <c r="A265" s="73" t="s">
        <v>1216</v>
      </c>
      <c r="B265" s="80" t="s">
        <v>1523</v>
      </c>
      <c r="C265" s="83" t="s">
        <v>1216</v>
      </c>
      <c r="D265" t="s">
        <v>1523</v>
      </c>
    </row>
    <row r="266" spans="1:4" x14ac:dyDescent="0.25">
      <c r="A266" s="73" t="s">
        <v>1219</v>
      </c>
      <c r="B266" s="80" t="s">
        <v>1524</v>
      </c>
      <c r="C266" s="83" t="s">
        <v>1219</v>
      </c>
      <c r="D266" t="s">
        <v>1524</v>
      </c>
    </row>
    <row r="267" spans="1:4" x14ac:dyDescent="0.25">
      <c r="A267" s="73" t="s">
        <v>1221</v>
      </c>
      <c r="B267" s="80" t="s">
        <v>1525</v>
      </c>
      <c r="C267" s="83" t="s">
        <v>1221</v>
      </c>
      <c r="D267" t="s">
        <v>1525</v>
      </c>
    </row>
    <row r="268" spans="1:4" x14ac:dyDescent="0.25">
      <c r="A268" s="73" t="s">
        <v>1224</v>
      </c>
      <c r="B268" s="80" t="s">
        <v>1526</v>
      </c>
      <c r="C268" s="83" t="s">
        <v>1224</v>
      </c>
      <c r="D268" t="s">
        <v>1526</v>
      </c>
    </row>
    <row r="269" spans="1:4" x14ac:dyDescent="0.25">
      <c r="A269" s="73" t="s">
        <v>1226</v>
      </c>
      <c r="B269" s="80" t="s">
        <v>1527</v>
      </c>
      <c r="C269" s="83" t="s">
        <v>1226</v>
      </c>
      <c r="D269" t="s">
        <v>1527</v>
      </c>
    </row>
    <row r="270" spans="1:4" x14ac:dyDescent="0.25">
      <c r="A270" s="73" t="s">
        <v>1227</v>
      </c>
      <c r="B270" s="80" t="s">
        <v>1528</v>
      </c>
      <c r="C270" s="83" t="s">
        <v>1227</v>
      </c>
      <c r="D270" t="s">
        <v>1528</v>
      </c>
    </row>
    <row r="271" spans="1:4" x14ac:dyDescent="0.25">
      <c r="A271" s="73" t="s">
        <v>1228</v>
      </c>
      <c r="B271" s="80" t="s">
        <v>1529</v>
      </c>
      <c r="C271" s="83" t="s">
        <v>1228</v>
      </c>
      <c r="D271" t="s">
        <v>1529</v>
      </c>
    </row>
    <row r="272" spans="1:4" x14ac:dyDescent="0.25">
      <c r="A272" s="73" t="s">
        <v>1230</v>
      </c>
      <c r="B272" s="80" t="s">
        <v>1530</v>
      </c>
      <c r="C272" s="83" t="s">
        <v>1230</v>
      </c>
      <c r="D272" t="s">
        <v>1530</v>
      </c>
    </row>
    <row r="273" spans="1:4" x14ac:dyDescent="0.25">
      <c r="A273" s="73" t="s">
        <v>1233</v>
      </c>
      <c r="B273" s="80" t="s">
        <v>1531</v>
      </c>
      <c r="C273" s="83" t="s">
        <v>1233</v>
      </c>
      <c r="D273" t="s">
        <v>1531</v>
      </c>
    </row>
    <row r="274" spans="1:4" x14ac:dyDescent="0.25">
      <c r="A274" s="73" t="s">
        <v>1236</v>
      </c>
      <c r="B274" s="80" t="s">
        <v>1532</v>
      </c>
      <c r="C274" s="83" t="s">
        <v>1236</v>
      </c>
      <c r="D274" t="s">
        <v>1532</v>
      </c>
    </row>
    <row r="275" spans="1:4" x14ac:dyDescent="0.25">
      <c r="A275" s="73" t="s">
        <v>1238</v>
      </c>
      <c r="B275" s="80" t="s">
        <v>1533</v>
      </c>
      <c r="C275" s="83" t="s">
        <v>1238</v>
      </c>
      <c r="D275" t="s">
        <v>1533</v>
      </c>
    </row>
    <row r="276" spans="1:4" x14ac:dyDescent="0.25">
      <c r="A276" s="73" t="s">
        <v>1241</v>
      </c>
      <c r="B276" s="80" t="s">
        <v>1534</v>
      </c>
      <c r="C276" s="83" t="s">
        <v>1241</v>
      </c>
      <c r="D276" t="s">
        <v>1534</v>
      </c>
    </row>
    <row r="277" spans="1:4" x14ac:dyDescent="0.25">
      <c r="A277" s="73" t="s">
        <v>1244</v>
      </c>
      <c r="B277" s="80" t="s">
        <v>1535</v>
      </c>
      <c r="C277" s="83" t="s">
        <v>1244</v>
      </c>
      <c r="D277" t="s">
        <v>1535</v>
      </c>
    </row>
    <row r="278" spans="1:4" x14ac:dyDescent="0.25">
      <c r="A278" s="73" t="s">
        <v>1250</v>
      </c>
      <c r="B278" s="80" t="s">
        <v>1536</v>
      </c>
      <c r="C278" s="83" t="s">
        <v>1250</v>
      </c>
      <c r="D278" t="s">
        <v>1536</v>
      </c>
    </row>
    <row r="279" spans="1:4" ht="15.75" thickBot="1" x14ac:dyDescent="0.3">
      <c r="A279" s="75" t="s">
        <v>1254</v>
      </c>
      <c r="B279" s="84" t="s">
        <v>1539</v>
      </c>
      <c r="C279" s="85" t="s">
        <v>1254</v>
      </c>
      <c r="D279" t="s">
        <v>1537</v>
      </c>
    </row>
    <row r="280" spans="1:4" x14ac:dyDescent="0.25">
      <c r="A280" s="69"/>
      <c r="C280" s="69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ACFBD-2EEE-48EB-A08A-9BFD25F854BD}">
  <dimension ref="A1:N991"/>
  <sheetViews>
    <sheetView topLeftCell="D1" zoomScaleNormal="100" workbookViewId="0">
      <selection activeCell="G26" sqref="G26"/>
    </sheetView>
  </sheetViews>
  <sheetFormatPr baseColWidth="10" defaultRowHeight="15" x14ac:dyDescent="0.25"/>
  <cols>
    <col min="1" max="1" width="27" style="66" customWidth="1"/>
    <col min="2" max="2" width="26.7109375" style="66" customWidth="1"/>
    <col min="3" max="3" width="43.140625" style="66" customWidth="1"/>
    <col min="4" max="4" width="28.28515625" style="66" customWidth="1"/>
    <col min="5" max="5" width="11.42578125" style="66"/>
    <col min="6" max="6" width="23.7109375" style="66" customWidth="1"/>
    <col min="7" max="7" width="11.42578125" style="66"/>
    <col min="8" max="8" width="19.5703125" style="66" bestFit="1" customWidth="1"/>
    <col min="9" max="9" width="17" style="66" bestFit="1" customWidth="1"/>
    <col min="10" max="10" width="17" style="66" customWidth="1"/>
    <col min="11" max="12" width="11.42578125" style="66"/>
    <col min="13" max="14" width="28.28515625" style="66" customWidth="1"/>
    <col min="15" max="16384" width="11.42578125" style="66"/>
  </cols>
  <sheetData>
    <row r="1" spans="1:14" x14ac:dyDescent="0.25">
      <c r="A1" s="104" t="s">
        <v>1541</v>
      </c>
      <c r="B1" s="79" t="s">
        <v>1596</v>
      </c>
      <c r="C1" s="81" t="s">
        <v>1546</v>
      </c>
      <c r="D1" s="81" t="s">
        <v>1598</v>
      </c>
      <c r="E1" s="81" t="s">
        <v>1540</v>
      </c>
      <c r="F1" s="81" t="s">
        <v>1542</v>
      </c>
      <c r="G1" s="81" t="s">
        <v>671</v>
      </c>
      <c r="H1" s="81" t="s">
        <v>1599</v>
      </c>
      <c r="I1" s="81" t="s">
        <v>7</v>
      </c>
      <c r="J1" s="81" t="s">
        <v>1602</v>
      </c>
      <c r="K1" s="81" t="s">
        <v>1601</v>
      </c>
      <c r="L1" s="82" t="s">
        <v>1600</v>
      </c>
      <c r="M1" s="92"/>
      <c r="N1" s="92"/>
    </row>
    <row r="2" spans="1:14" x14ac:dyDescent="0.25">
      <c r="A2" s="105">
        <v>44914.724999999999</v>
      </c>
      <c r="B2" s="107" t="s">
        <v>1547</v>
      </c>
      <c r="C2" s="99" t="s">
        <v>1548</v>
      </c>
      <c r="D2" s="99" t="s">
        <v>1549</v>
      </c>
      <c r="E2" s="93">
        <v>219.62</v>
      </c>
      <c r="F2" s="94" t="s">
        <v>1543</v>
      </c>
      <c r="G2" s="95" t="s">
        <v>13</v>
      </c>
      <c r="H2" s="94">
        <v>105337707</v>
      </c>
      <c r="I2" s="101">
        <f>A2</f>
        <v>44914.724999999999</v>
      </c>
      <c r="J2" s="102">
        <f>MONTH(A2)</f>
        <v>12</v>
      </c>
      <c r="K2" s="103">
        <f>DAY(A2)</f>
        <v>19</v>
      </c>
      <c r="L2" s="83">
        <f>HOUR(A2)</f>
        <v>17</v>
      </c>
      <c r="M2" s="91"/>
      <c r="N2" s="91"/>
    </row>
    <row r="3" spans="1:14" x14ac:dyDescent="0.25">
      <c r="A3" s="105">
        <v>44915.724999942133</v>
      </c>
      <c r="B3" s="107" t="s">
        <v>1554</v>
      </c>
      <c r="C3" s="99" t="s">
        <v>1550</v>
      </c>
      <c r="D3" s="99" t="s">
        <v>1551</v>
      </c>
      <c r="E3" s="93">
        <v>186</v>
      </c>
      <c r="F3" s="94" t="s">
        <v>1543</v>
      </c>
      <c r="G3" s="95" t="s">
        <v>18</v>
      </c>
      <c r="H3" s="94">
        <v>104595129</v>
      </c>
      <c r="I3" s="101">
        <f t="shared" ref="I3:I66" si="0">A3</f>
        <v>44915.724999942133</v>
      </c>
      <c r="J3" s="102">
        <f t="shared" ref="J3:J66" si="1">MONTH(A3)</f>
        <v>12</v>
      </c>
      <c r="K3" s="103">
        <f t="shared" ref="K3:K66" si="2">DAY(A3)</f>
        <v>20</v>
      </c>
      <c r="L3" s="83">
        <f t="shared" ref="L3:L66" si="3">HOUR(A3)</f>
        <v>17</v>
      </c>
      <c r="M3" s="91"/>
      <c r="N3" s="91"/>
    </row>
    <row r="4" spans="1:14" x14ac:dyDescent="0.25">
      <c r="A4" s="105">
        <v>44916.724999942133</v>
      </c>
      <c r="B4" s="107" t="s">
        <v>1561</v>
      </c>
      <c r="C4" s="99" t="s">
        <v>1552</v>
      </c>
      <c r="D4" s="99" t="s">
        <v>1553</v>
      </c>
      <c r="E4" s="93">
        <v>53.27</v>
      </c>
      <c r="F4" s="94" t="s">
        <v>1543</v>
      </c>
      <c r="G4" s="95" t="s">
        <v>20</v>
      </c>
      <c r="H4" s="94">
        <v>101413441</v>
      </c>
      <c r="I4" s="101">
        <f t="shared" si="0"/>
        <v>44916.724999942133</v>
      </c>
      <c r="J4" s="102">
        <f t="shared" si="1"/>
        <v>12</v>
      </c>
      <c r="K4" s="103">
        <f t="shared" si="2"/>
        <v>21</v>
      </c>
      <c r="L4" s="83">
        <f t="shared" si="3"/>
        <v>17</v>
      </c>
      <c r="M4" s="91"/>
      <c r="N4" s="91"/>
    </row>
    <row r="5" spans="1:14" x14ac:dyDescent="0.25">
      <c r="A5" s="105">
        <v>44917.724999942133</v>
      </c>
      <c r="B5" s="107" t="s">
        <v>1568</v>
      </c>
      <c r="C5" s="99" t="s">
        <v>1555</v>
      </c>
      <c r="D5" s="99" t="s">
        <v>1556</v>
      </c>
      <c r="E5" s="93">
        <v>50.95</v>
      </c>
      <c r="F5" s="94" t="s">
        <v>1543</v>
      </c>
      <c r="G5" s="95" t="s">
        <v>22</v>
      </c>
      <c r="H5" s="94">
        <v>103640255</v>
      </c>
      <c r="I5" s="101">
        <f t="shared" si="0"/>
        <v>44917.724999942133</v>
      </c>
      <c r="J5" s="102">
        <f t="shared" si="1"/>
        <v>12</v>
      </c>
      <c r="K5" s="103">
        <f t="shared" si="2"/>
        <v>22</v>
      </c>
      <c r="L5" s="83">
        <f t="shared" si="3"/>
        <v>17</v>
      </c>
      <c r="M5" s="91"/>
      <c r="N5" s="91"/>
    </row>
    <row r="6" spans="1:14" x14ac:dyDescent="0.25">
      <c r="A6" s="105">
        <v>44918.724999942133</v>
      </c>
      <c r="B6" s="107" t="s">
        <v>1575</v>
      </c>
      <c r="C6" s="99" t="s">
        <v>1557</v>
      </c>
      <c r="D6" s="99" t="s">
        <v>1558</v>
      </c>
      <c r="E6" s="93">
        <v>12.14</v>
      </c>
      <c r="F6" s="94" t="s">
        <v>1543</v>
      </c>
      <c r="G6" s="95" t="s">
        <v>24</v>
      </c>
      <c r="H6" s="94">
        <v>104542745</v>
      </c>
      <c r="I6" s="101">
        <f t="shared" si="0"/>
        <v>44918.724999942133</v>
      </c>
      <c r="J6" s="102">
        <f t="shared" si="1"/>
        <v>12</v>
      </c>
      <c r="K6" s="103">
        <f t="shared" si="2"/>
        <v>23</v>
      </c>
      <c r="L6" s="83">
        <f t="shared" si="3"/>
        <v>17</v>
      </c>
      <c r="M6" s="91"/>
      <c r="N6" s="91"/>
    </row>
    <row r="7" spans="1:14" x14ac:dyDescent="0.25">
      <c r="A7" s="105">
        <v>44919.724999942133</v>
      </c>
      <c r="B7" s="107" t="s">
        <v>1582</v>
      </c>
      <c r="C7" s="99" t="s">
        <v>1559</v>
      </c>
      <c r="D7" s="99" t="s">
        <v>1560</v>
      </c>
      <c r="E7" s="93">
        <v>227.72</v>
      </c>
      <c r="F7" s="94" t="s">
        <v>1543</v>
      </c>
      <c r="G7" s="95" t="s">
        <v>26</v>
      </c>
      <c r="H7" s="94">
        <v>104977958</v>
      </c>
      <c r="I7" s="101">
        <f t="shared" si="0"/>
        <v>44919.724999942133</v>
      </c>
      <c r="J7" s="102">
        <f t="shared" si="1"/>
        <v>12</v>
      </c>
      <c r="K7" s="103">
        <f t="shared" si="2"/>
        <v>24</v>
      </c>
      <c r="L7" s="83">
        <f t="shared" si="3"/>
        <v>17</v>
      </c>
      <c r="M7" s="91"/>
      <c r="N7" s="91"/>
    </row>
    <row r="8" spans="1:14" x14ac:dyDescent="0.25">
      <c r="A8" s="105">
        <v>44920.724999942133</v>
      </c>
      <c r="B8" s="107" t="s">
        <v>1586</v>
      </c>
      <c r="C8" s="99" t="s">
        <v>1562</v>
      </c>
      <c r="D8" s="99" t="s">
        <v>1563</v>
      </c>
      <c r="E8" s="93">
        <v>268</v>
      </c>
      <c r="F8" s="94" t="s">
        <v>1543</v>
      </c>
      <c r="G8" s="95" t="s">
        <v>28</v>
      </c>
      <c r="H8" s="94">
        <v>105556693</v>
      </c>
      <c r="I8" s="101">
        <f t="shared" si="0"/>
        <v>44920.724999942133</v>
      </c>
      <c r="J8" s="102">
        <f t="shared" si="1"/>
        <v>12</v>
      </c>
      <c r="K8" s="103">
        <f t="shared" si="2"/>
        <v>25</v>
      </c>
      <c r="L8" s="83">
        <f t="shared" si="3"/>
        <v>17</v>
      </c>
      <c r="M8" s="91"/>
      <c r="N8" s="91"/>
    </row>
    <row r="9" spans="1:14" x14ac:dyDescent="0.25">
      <c r="A9" s="105">
        <v>44921.724999942133</v>
      </c>
      <c r="B9" s="107" t="s">
        <v>1589</v>
      </c>
      <c r="C9" s="99" t="s">
        <v>1564</v>
      </c>
      <c r="D9" s="99" t="s">
        <v>1565</v>
      </c>
      <c r="E9" s="93">
        <v>120.22</v>
      </c>
      <c r="F9" s="94" t="s">
        <v>1543</v>
      </c>
      <c r="G9" s="95" t="s">
        <v>30</v>
      </c>
      <c r="H9" s="94">
        <v>105481950</v>
      </c>
      <c r="I9" s="101">
        <f t="shared" si="0"/>
        <v>44921.724999942133</v>
      </c>
      <c r="J9" s="102">
        <f t="shared" si="1"/>
        <v>12</v>
      </c>
      <c r="K9" s="103">
        <f t="shared" si="2"/>
        <v>26</v>
      </c>
      <c r="L9" s="83">
        <f t="shared" si="3"/>
        <v>17</v>
      </c>
      <c r="M9" s="91"/>
      <c r="N9" s="91"/>
    </row>
    <row r="10" spans="1:14" x14ac:dyDescent="0.25">
      <c r="A10" s="105">
        <v>44922.724999942133</v>
      </c>
      <c r="B10" s="107" t="s">
        <v>1590</v>
      </c>
      <c r="C10" s="99" t="s">
        <v>1566</v>
      </c>
      <c r="D10" s="99" t="s">
        <v>1567</v>
      </c>
      <c r="E10" s="93">
        <v>40</v>
      </c>
      <c r="F10" s="94" t="s">
        <v>1543</v>
      </c>
      <c r="G10" s="95" t="s">
        <v>32</v>
      </c>
      <c r="H10" s="94">
        <v>104986621</v>
      </c>
      <c r="I10" s="101">
        <f t="shared" si="0"/>
        <v>44922.724999942133</v>
      </c>
      <c r="J10" s="102">
        <f t="shared" si="1"/>
        <v>12</v>
      </c>
      <c r="K10" s="103">
        <f t="shared" si="2"/>
        <v>27</v>
      </c>
      <c r="L10" s="83">
        <f t="shared" si="3"/>
        <v>17</v>
      </c>
      <c r="M10" s="91"/>
      <c r="N10" s="91"/>
    </row>
    <row r="11" spans="1:14" x14ac:dyDescent="0.25">
      <c r="A11" s="105">
        <v>44923.724999942133</v>
      </c>
      <c r="B11" s="107" t="s">
        <v>1591</v>
      </c>
      <c r="C11" s="99" t="s">
        <v>1569</v>
      </c>
      <c r="D11" s="99" t="s">
        <v>1570</v>
      </c>
      <c r="E11" s="93">
        <v>77</v>
      </c>
      <c r="F11" s="94" t="s">
        <v>1543</v>
      </c>
      <c r="G11" s="95" t="s">
        <v>34</v>
      </c>
      <c r="H11" s="94">
        <v>103864203</v>
      </c>
      <c r="I11" s="101">
        <f t="shared" si="0"/>
        <v>44923.724999942133</v>
      </c>
      <c r="J11" s="102">
        <f t="shared" si="1"/>
        <v>12</v>
      </c>
      <c r="K11" s="103">
        <f t="shared" si="2"/>
        <v>28</v>
      </c>
      <c r="L11" s="83">
        <f t="shared" si="3"/>
        <v>17</v>
      </c>
      <c r="M11" s="91"/>
      <c r="N11" s="91"/>
    </row>
    <row r="12" spans="1:14" x14ac:dyDescent="0.25">
      <c r="A12" s="105">
        <v>44924.724999942133</v>
      </c>
      <c r="B12" s="107" t="s">
        <v>1592</v>
      </c>
      <c r="C12" s="99" t="s">
        <v>1571</v>
      </c>
      <c r="D12" s="99" t="s">
        <v>1572</v>
      </c>
      <c r="E12" s="93">
        <v>37.49</v>
      </c>
      <c r="F12" s="94" t="s">
        <v>1543</v>
      </c>
      <c r="G12" s="95" t="s">
        <v>37</v>
      </c>
      <c r="H12" s="94">
        <v>105115268</v>
      </c>
      <c r="I12" s="101">
        <f t="shared" si="0"/>
        <v>44924.724999942133</v>
      </c>
      <c r="J12" s="102">
        <f t="shared" si="1"/>
        <v>12</v>
      </c>
      <c r="K12" s="103">
        <f t="shared" si="2"/>
        <v>29</v>
      </c>
      <c r="L12" s="83">
        <f t="shared" si="3"/>
        <v>17</v>
      </c>
      <c r="M12" s="91"/>
      <c r="N12" s="91"/>
    </row>
    <row r="13" spans="1:14" x14ac:dyDescent="0.25">
      <c r="A13" s="105">
        <v>44925.724999942133</v>
      </c>
      <c r="B13" s="107" t="s">
        <v>1593</v>
      </c>
      <c r="C13" s="99" t="s">
        <v>1573</v>
      </c>
      <c r="D13" s="99" t="s">
        <v>1574</v>
      </c>
      <c r="E13" s="93">
        <v>85.39</v>
      </c>
      <c r="F13" s="94" t="s">
        <v>1543</v>
      </c>
      <c r="G13" s="95" t="s">
        <v>39</v>
      </c>
      <c r="H13" s="94">
        <v>105559464</v>
      </c>
      <c r="I13" s="101">
        <f t="shared" si="0"/>
        <v>44925.724999942133</v>
      </c>
      <c r="J13" s="102">
        <f t="shared" si="1"/>
        <v>12</v>
      </c>
      <c r="K13" s="103">
        <f t="shared" si="2"/>
        <v>30</v>
      </c>
      <c r="L13" s="83">
        <f t="shared" si="3"/>
        <v>17</v>
      </c>
      <c r="M13" s="91"/>
      <c r="N13" s="91"/>
    </row>
    <row r="14" spans="1:14" x14ac:dyDescent="0.25">
      <c r="A14" s="105">
        <v>45279.769444444442</v>
      </c>
      <c r="B14" s="107" t="s">
        <v>1594</v>
      </c>
      <c r="C14" s="99" t="s">
        <v>1576</v>
      </c>
      <c r="D14" s="99" t="s">
        <v>1577</v>
      </c>
      <c r="E14" s="93">
        <v>82.14</v>
      </c>
      <c r="F14" s="94" t="s">
        <v>1543</v>
      </c>
      <c r="G14" s="95" t="s">
        <v>41</v>
      </c>
      <c r="H14" s="94">
        <v>103892530</v>
      </c>
      <c r="I14" s="101">
        <f t="shared" si="0"/>
        <v>45279.769444444442</v>
      </c>
      <c r="J14" s="102">
        <f t="shared" si="1"/>
        <v>12</v>
      </c>
      <c r="K14" s="103">
        <f t="shared" si="2"/>
        <v>19</v>
      </c>
      <c r="L14" s="83">
        <f t="shared" si="3"/>
        <v>18</v>
      </c>
      <c r="M14" s="91"/>
      <c r="N14" s="91"/>
    </row>
    <row r="15" spans="1:14" x14ac:dyDescent="0.25">
      <c r="A15" s="105">
        <v>45279.722916666666</v>
      </c>
      <c r="B15" s="107" t="s">
        <v>1595</v>
      </c>
      <c r="C15" s="99" t="s">
        <v>1578</v>
      </c>
      <c r="D15" s="99" t="s">
        <v>1579</v>
      </c>
      <c r="E15" s="93">
        <v>60</v>
      </c>
      <c r="F15" s="94" t="s">
        <v>1543</v>
      </c>
      <c r="G15" s="95" t="s">
        <v>43</v>
      </c>
      <c r="H15" s="94">
        <v>103754652</v>
      </c>
      <c r="I15" s="101">
        <f t="shared" si="0"/>
        <v>45279.722916666666</v>
      </c>
      <c r="J15" s="102">
        <f t="shared" si="1"/>
        <v>12</v>
      </c>
      <c r="K15" s="103">
        <f t="shared" si="2"/>
        <v>19</v>
      </c>
      <c r="L15" s="83">
        <f t="shared" si="3"/>
        <v>17</v>
      </c>
      <c r="M15" s="91"/>
      <c r="N15" s="91"/>
    </row>
    <row r="16" spans="1:14" x14ac:dyDescent="0.25">
      <c r="A16" s="105">
        <v>45279.552777777775</v>
      </c>
      <c r="B16" s="107" t="s">
        <v>1597</v>
      </c>
      <c r="C16" s="99" t="s">
        <v>1580</v>
      </c>
      <c r="D16" s="99" t="s">
        <v>1581</v>
      </c>
      <c r="E16" s="93">
        <v>81</v>
      </c>
      <c r="F16" s="94" t="s">
        <v>1543</v>
      </c>
      <c r="G16" s="95" t="s">
        <v>45</v>
      </c>
      <c r="H16" s="94">
        <v>104933384</v>
      </c>
      <c r="I16" s="101">
        <f t="shared" si="0"/>
        <v>45279.552777777775</v>
      </c>
      <c r="J16" s="102">
        <f t="shared" si="1"/>
        <v>12</v>
      </c>
      <c r="K16" s="103">
        <f t="shared" si="2"/>
        <v>19</v>
      </c>
      <c r="L16" s="83">
        <f t="shared" si="3"/>
        <v>13</v>
      </c>
      <c r="M16" s="91"/>
      <c r="N16" s="91"/>
    </row>
    <row r="17" spans="1:14" x14ac:dyDescent="0.25">
      <c r="A17" s="105">
        <v>45279.742361111108</v>
      </c>
      <c r="B17" s="107" t="s">
        <v>1547</v>
      </c>
      <c r="C17" s="99" t="s">
        <v>1548</v>
      </c>
      <c r="D17" s="99" t="s">
        <v>1549</v>
      </c>
      <c r="E17" s="93">
        <v>42</v>
      </c>
      <c r="F17" s="94" t="s">
        <v>1543</v>
      </c>
      <c r="G17" s="95" t="s">
        <v>47</v>
      </c>
      <c r="H17" s="94">
        <v>104037793</v>
      </c>
      <c r="I17" s="101">
        <f t="shared" si="0"/>
        <v>45279.742361111108</v>
      </c>
      <c r="J17" s="102">
        <f t="shared" si="1"/>
        <v>12</v>
      </c>
      <c r="K17" s="103">
        <f t="shared" si="2"/>
        <v>19</v>
      </c>
      <c r="L17" s="83">
        <f t="shared" si="3"/>
        <v>17</v>
      </c>
      <c r="M17" s="91"/>
      <c r="N17" s="91"/>
    </row>
    <row r="18" spans="1:14" x14ac:dyDescent="0.25">
      <c r="A18" s="105">
        <v>45279.647916666669</v>
      </c>
      <c r="B18" s="107" t="s">
        <v>1554</v>
      </c>
      <c r="C18" s="99" t="s">
        <v>1583</v>
      </c>
      <c r="D18" s="99" t="s">
        <v>1574</v>
      </c>
      <c r="E18" s="93">
        <v>100.75</v>
      </c>
      <c r="F18" s="94" t="s">
        <v>1543</v>
      </c>
      <c r="G18" s="95" t="s">
        <v>49</v>
      </c>
      <c r="H18" s="94">
        <v>100094851</v>
      </c>
      <c r="I18" s="101">
        <f t="shared" si="0"/>
        <v>45279.647916666669</v>
      </c>
      <c r="J18" s="102">
        <f t="shared" si="1"/>
        <v>12</v>
      </c>
      <c r="K18" s="103">
        <f t="shared" si="2"/>
        <v>19</v>
      </c>
      <c r="L18" s="83">
        <f t="shared" si="3"/>
        <v>15</v>
      </c>
      <c r="M18" s="91"/>
      <c r="N18" s="91"/>
    </row>
    <row r="19" spans="1:14" x14ac:dyDescent="0.25">
      <c r="A19" s="105">
        <v>45279.449305555558</v>
      </c>
      <c r="B19" s="107" t="s">
        <v>1561</v>
      </c>
      <c r="C19" s="99" t="s">
        <v>1584</v>
      </c>
      <c r="D19" s="99" t="s">
        <v>1585</v>
      </c>
      <c r="E19" s="93">
        <v>100</v>
      </c>
      <c r="F19" s="94" t="s">
        <v>1543</v>
      </c>
      <c r="G19" s="95" t="s">
        <v>51</v>
      </c>
      <c r="H19" s="94">
        <v>104756014</v>
      </c>
      <c r="I19" s="101">
        <f t="shared" si="0"/>
        <v>45279.449305555558</v>
      </c>
      <c r="J19" s="102">
        <f t="shared" si="1"/>
        <v>12</v>
      </c>
      <c r="K19" s="103">
        <f t="shared" si="2"/>
        <v>19</v>
      </c>
      <c r="L19" s="83">
        <f t="shared" si="3"/>
        <v>10</v>
      </c>
      <c r="M19" s="91"/>
      <c r="N19" s="91"/>
    </row>
    <row r="20" spans="1:14" x14ac:dyDescent="0.25">
      <c r="A20" s="105">
        <v>45279.423611111109</v>
      </c>
      <c r="B20" s="107" t="s">
        <v>1568</v>
      </c>
      <c r="C20" s="99" t="s">
        <v>1557</v>
      </c>
      <c r="D20" s="99" t="s">
        <v>1558</v>
      </c>
      <c r="E20" s="93">
        <v>82.21</v>
      </c>
      <c r="F20" s="94" t="s">
        <v>1543</v>
      </c>
      <c r="G20" s="95" t="s">
        <v>53</v>
      </c>
      <c r="H20" s="94">
        <v>103508672</v>
      </c>
      <c r="I20" s="101">
        <f t="shared" si="0"/>
        <v>45279.423611111109</v>
      </c>
      <c r="J20" s="102">
        <f t="shared" si="1"/>
        <v>12</v>
      </c>
      <c r="K20" s="103">
        <f t="shared" si="2"/>
        <v>19</v>
      </c>
      <c r="L20" s="83">
        <f t="shared" si="3"/>
        <v>10</v>
      </c>
      <c r="M20" s="91"/>
      <c r="N20" s="91"/>
    </row>
    <row r="21" spans="1:14" x14ac:dyDescent="0.25">
      <c r="A21" s="105">
        <v>45279.769444444442</v>
      </c>
      <c r="B21" s="107" t="s">
        <v>1575</v>
      </c>
      <c r="C21" s="99" t="s">
        <v>1587</v>
      </c>
      <c r="D21" s="99" t="s">
        <v>1588</v>
      </c>
      <c r="E21" s="93">
        <v>105.18</v>
      </c>
      <c r="F21" s="94" t="s">
        <v>1543</v>
      </c>
      <c r="G21" s="95" t="s">
        <v>55</v>
      </c>
      <c r="H21" s="94">
        <v>105715662</v>
      </c>
      <c r="I21" s="101">
        <f t="shared" si="0"/>
        <v>45279.769444444442</v>
      </c>
      <c r="J21" s="102">
        <f t="shared" si="1"/>
        <v>12</v>
      </c>
      <c r="K21" s="103">
        <f t="shared" si="2"/>
        <v>19</v>
      </c>
      <c r="L21" s="83">
        <f t="shared" si="3"/>
        <v>18</v>
      </c>
      <c r="M21" s="91"/>
      <c r="N21" s="91"/>
    </row>
    <row r="22" spans="1:14" x14ac:dyDescent="0.25">
      <c r="A22" s="105">
        <v>45279.52847222222</v>
      </c>
      <c r="B22" s="107" t="s">
        <v>1582</v>
      </c>
      <c r="C22" s="99" t="s">
        <v>1564</v>
      </c>
      <c r="D22" s="99" t="s">
        <v>1565</v>
      </c>
      <c r="E22" s="93">
        <v>147</v>
      </c>
      <c r="F22" s="94" t="s">
        <v>1543</v>
      </c>
      <c r="G22" s="95" t="s">
        <v>57</v>
      </c>
      <c r="H22" s="94">
        <v>104278981</v>
      </c>
      <c r="I22" s="101">
        <f t="shared" si="0"/>
        <v>45279.52847222222</v>
      </c>
      <c r="J22" s="102">
        <f t="shared" si="1"/>
        <v>12</v>
      </c>
      <c r="K22" s="103">
        <f t="shared" si="2"/>
        <v>19</v>
      </c>
      <c r="L22" s="83">
        <f t="shared" si="3"/>
        <v>12</v>
      </c>
      <c r="M22" s="91"/>
      <c r="N22" s="91"/>
    </row>
    <row r="23" spans="1:14" x14ac:dyDescent="0.25">
      <c r="A23" s="105">
        <v>45279.629861111112</v>
      </c>
      <c r="B23" s="107" t="s">
        <v>1586</v>
      </c>
      <c r="C23" s="99" t="s">
        <v>1548</v>
      </c>
      <c r="D23" s="99" t="s">
        <v>1549</v>
      </c>
      <c r="E23" s="93">
        <v>59.59</v>
      </c>
      <c r="F23" s="94" t="s">
        <v>1543</v>
      </c>
      <c r="G23" s="95" t="s">
        <v>59</v>
      </c>
      <c r="H23" s="94">
        <v>103168315</v>
      </c>
      <c r="I23" s="101">
        <f t="shared" si="0"/>
        <v>45279.629861111112</v>
      </c>
      <c r="J23" s="102">
        <f t="shared" si="1"/>
        <v>12</v>
      </c>
      <c r="K23" s="103">
        <f t="shared" si="2"/>
        <v>19</v>
      </c>
      <c r="L23" s="83">
        <f t="shared" si="3"/>
        <v>15</v>
      </c>
      <c r="M23" s="91"/>
      <c r="N23" s="91"/>
    </row>
    <row r="24" spans="1:14" x14ac:dyDescent="0.25">
      <c r="A24" s="105">
        <v>45279.701388888891</v>
      </c>
      <c r="B24" s="107" t="s">
        <v>1589</v>
      </c>
      <c r="C24" s="99" t="s">
        <v>1550</v>
      </c>
      <c r="D24" s="99" t="s">
        <v>1551</v>
      </c>
      <c r="E24" s="93">
        <v>314.49</v>
      </c>
      <c r="F24" s="94" t="s">
        <v>1543</v>
      </c>
      <c r="G24" s="95" t="s">
        <v>61</v>
      </c>
      <c r="H24" s="94">
        <v>105272642</v>
      </c>
      <c r="I24" s="101">
        <f t="shared" si="0"/>
        <v>45279.701388888891</v>
      </c>
      <c r="J24" s="102">
        <f t="shared" si="1"/>
        <v>12</v>
      </c>
      <c r="K24" s="103">
        <f t="shared" si="2"/>
        <v>19</v>
      </c>
      <c r="L24" s="83">
        <f t="shared" si="3"/>
        <v>16</v>
      </c>
      <c r="M24" s="91"/>
      <c r="N24" s="91"/>
    </row>
    <row r="25" spans="1:14" x14ac:dyDescent="0.25">
      <c r="A25" s="105">
        <v>45279.538194444445</v>
      </c>
      <c r="B25" s="107" t="s">
        <v>1590</v>
      </c>
      <c r="C25" s="99" t="s">
        <v>1562</v>
      </c>
      <c r="D25" s="99" t="s">
        <v>1563</v>
      </c>
      <c r="E25" s="93">
        <v>26.27</v>
      </c>
      <c r="F25" s="94" t="s">
        <v>1544</v>
      </c>
      <c r="G25" s="95" t="s">
        <v>63</v>
      </c>
      <c r="H25" s="94">
        <v>103959628</v>
      </c>
      <c r="I25" s="101">
        <f t="shared" si="0"/>
        <v>45279.538194444445</v>
      </c>
      <c r="J25" s="102">
        <f t="shared" si="1"/>
        <v>12</v>
      </c>
      <c r="K25" s="103">
        <f t="shared" si="2"/>
        <v>19</v>
      </c>
      <c r="L25" s="83">
        <f t="shared" si="3"/>
        <v>12</v>
      </c>
      <c r="M25" s="91"/>
      <c r="N25" s="91"/>
    </row>
    <row r="26" spans="1:14" x14ac:dyDescent="0.25">
      <c r="A26" s="105">
        <v>45279.431944444441</v>
      </c>
      <c r="B26" s="107" t="s">
        <v>1591</v>
      </c>
      <c r="C26" s="99" t="s">
        <v>1552</v>
      </c>
      <c r="D26" s="99" t="s">
        <v>1553</v>
      </c>
      <c r="E26" s="93">
        <v>20</v>
      </c>
      <c r="F26" s="94" t="s">
        <v>1543</v>
      </c>
      <c r="G26" s="95" t="s">
        <v>65</v>
      </c>
      <c r="H26" s="94">
        <v>105653335</v>
      </c>
      <c r="I26" s="101">
        <f t="shared" si="0"/>
        <v>45279.431944444441</v>
      </c>
      <c r="J26" s="102">
        <f t="shared" si="1"/>
        <v>12</v>
      </c>
      <c r="K26" s="103">
        <f t="shared" si="2"/>
        <v>19</v>
      </c>
      <c r="L26" s="83">
        <f t="shared" si="3"/>
        <v>10</v>
      </c>
      <c r="M26" s="91"/>
      <c r="N26" s="91"/>
    </row>
    <row r="27" spans="1:14" x14ac:dyDescent="0.25">
      <c r="A27" s="105">
        <v>45279.432638888888</v>
      </c>
      <c r="B27" s="107" t="s">
        <v>1592</v>
      </c>
      <c r="C27" s="99" t="s">
        <v>1555</v>
      </c>
      <c r="D27" s="99" t="s">
        <v>1556</v>
      </c>
      <c r="E27" s="93">
        <v>93.23</v>
      </c>
      <c r="F27" s="94" t="s">
        <v>1543</v>
      </c>
      <c r="G27" s="95" t="s">
        <v>67</v>
      </c>
      <c r="H27" s="94">
        <v>103374330</v>
      </c>
      <c r="I27" s="101">
        <f t="shared" si="0"/>
        <v>45279.432638888888</v>
      </c>
      <c r="J27" s="102">
        <f t="shared" si="1"/>
        <v>12</v>
      </c>
      <c r="K27" s="103">
        <f t="shared" si="2"/>
        <v>19</v>
      </c>
      <c r="L27" s="83">
        <f t="shared" si="3"/>
        <v>10</v>
      </c>
      <c r="M27" s="91"/>
      <c r="N27" s="91"/>
    </row>
    <row r="28" spans="1:14" x14ac:dyDescent="0.25">
      <c r="A28" s="105">
        <v>45279.450694444444</v>
      </c>
      <c r="B28" s="107" t="s">
        <v>1593</v>
      </c>
      <c r="C28" s="99" t="s">
        <v>1559</v>
      </c>
      <c r="D28" s="99" t="s">
        <v>1560</v>
      </c>
      <c r="E28" s="93">
        <v>100</v>
      </c>
      <c r="F28" s="94" t="s">
        <v>1543</v>
      </c>
      <c r="G28" s="95" t="s">
        <v>69</v>
      </c>
      <c r="H28" s="94">
        <v>103848737</v>
      </c>
      <c r="I28" s="101">
        <f t="shared" si="0"/>
        <v>45279.450694444444</v>
      </c>
      <c r="J28" s="102">
        <f t="shared" si="1"/>
        <v>12</v>
      </c>
      <c r="K28" s="103">
        <f t="shared" si="2"/>
        <v>19</v>
      </c>
      <c r="L28" s="83">
        <f t="shared" si="3"/>
        <v>10</v>
      </c>
      <c r="M28" s="91"/>
      <c r="N28" s="91"/>
    </row>
    <row r="29" spans="1:14" x14ac:dyDescent="0.25">
      <c r="A29" s="105">
        <v>45279.524305555555</v>
      </c>
      <c r="B29" s="107" t="s">
        <v>1594</v>
      </c>
      <c r="C29" s="99" t="s">
        <v>1548</v>
      </c>
      <c r="D29" s="99" t="s">
        <v>1549</v>
      </c>
      <c r="E29" s="93">
        <v>124.83</v>
      </c>
      <c r="F29" s="94" t="s">
        <v>1543</v>
      </c>
      <c r="G29" s="95" t="s">
        <v>71</v>
      </c>
      <c r="H29" s="94">
        <v>105686968</v>
      </c>
      <c r="I29" s="101">
        <f t="shared" si="0"/>
        <v>45279.524305555555</v>
      </c>
      <c r="J29" s="102">
        <f t="shared" si="1"/>
        <v>12</v>
      </c>
      <c r="K29" s="103">
        <f t="shared" si="2"/>
        <v>19</v>
      </c>
      <c r="L29" s="83">
        <f t="shared" si="3"/>
        <v>12</v>
      </c>
      <c r="M29" s="91"/>
      <c r="N29" s="91"/>
    </row>
    <row r="30" spans="1:14" x14ac:dyDescent="0.25">
      <c r="A30" s="105">
        <v>45279.540972222225</v>
      </c>
      <c r="B30" s="107" t="s">
        <v>1595</v>
      </c>
      <c r="C30" s="99" t="s">
        <v>1566</v>
      </c>
      <c r="D30" s="99" t="s">
        <v>1567</v>
      </c>
      <c r="E30" s="93">
        <v>57.45</v>
      </c>
      <c r="F30" s="94" t="s">
        <v>1543</v>
      </c>
      <c r="G30" s="95" t="s">
        <v>73</v>
      </c>
      <c r="H30" s="94">
        <v>105721444</v>
      </c>
      <c r="I30" s="101">
        <f t="shared" si="0"/>
        <v>45279.540972222225</v>
      </c>
      <c r="J30" s="102">
        <f t="shared" si="1"/>
        <v>12</v>
      </c>
      <c r="K30" s="103">
        <f t="shared" si="2"/>
        <v>19</v>
      </c>
      <c r="L30" s="83">
        <f t="shared" si="3"/>
        <v>12</v>
      </c>
      <c r="M30" s="91"/>
      <c r="N30" s="91"/>
    </row>
    <row r="31" spans="1:14" x14ac:dyDescent="0.25">
      <c r="A31" s="105">
        <v>45279.458333333336</v>
      </c>
      <c r="B31" s="107" t="s">
        <v>1597</v>
      </c>
      <c r="C31" s="99" t="s">
        <v>1564</v>
      </c>
      <c r="D31" s="99" t="s">
        <v>1565</v>
      </c>
      <c r="E31" s="93">
        <v>69.930000000000007</v>
      </c>
      <c r="F31" s="94" t="s">
        <v>1543</v>
      </c>
      <c r="G31" s="95" t="s">
        <v>75</v>
      </c>
      <c r="H31" s="94">
        <v>102362985</v>
      </c>
      <c r="I31" s="101">
        <f t="shared" si="0"/>
        <v>45279.458333333336</v>
      </c>
      <c r="J31" s="102">
        <f t="shared" si="1"/>
        <v>12</v>
      </c>
      <c r="K31" s="103">
        <f t="shared" si="2"/>
        <v>19</v>
      </c>
      <c r="L31" s="83">
        <f t="shared" si="3"/>
        <v>11</v>
      </c>
      <c r="M31" s="91"/>
      <c r="N31" s="91"/>
    </row>
    <row r="32" spans="1:14" x14ac:dyDescent="0.25">
      <c r="A32" s="105">
        <v>45279.739583333336</v>
      </c>
      <c r="B32" s="107" t="s">
        <v>1547</v>
      </c>
      <c r="C32" s="99" t="s">
        <v>1548</v>
      </c>
      <c r="D32" s="99" t="s">
        <v>1549</v>
      </c>
      <c r="E32" s="93">
        <v>230.17</v>
      </c>
      <c r="F32" s="94" t="s">
        <v>1543</v>
      </c>
      <c r="G32" s="95" t="s">
        <v>78</v>
      </c>
      <c r="H32" s="94">
        <v>105365973</v>
      </c>
      <c r="I32" s="101">
        <f t="shared" si="0"/>
        <v>45279.739583333336</v>
      </c>
      <c r="J32" s="102">
        <f t="shared" si="1"/>
        <v>12</v>
      </c>
      <c r="K32" s="103">
        <f t="shared" si="2"/>
        <v>19</v>
      </c>
      <c r="L32" s="83">
        <f t="shared" si="3"/>
        <v>17</v>
      </c>
      <c r="M32" s="91"/>
      <c r="N32" s="91"/>
    </row>
    <row r="33" spans="1:14" x14ac:dyDescent="0.25">
      <c r="A33" s="105">
        <v>45279.697916666664</v>
      </c>
      <c r="B33" s="107" t="s">
        <v>1554</v>
      </c>
      <c r="C33" s="99" t="s">
        <v>1550</v>
      </c>
      <c r="D33" s="99" t="s">
        <v>1551</v>
      </c>
      <c r="E33" s="93">
        <v>44</v>
      </c>
      <c r="F33" s="94" t="s">
        <v>1543</v>
      </c>
      <c r="G33" s="95" t="s">
        <v>80</v>
      </c>
      <c r="H33" s="94">
        <v>105231545</v>
      </c>
      <c r="I33" s="101">
        <f t="shared" si="0"/>
        <v>45279.697916666664</v>
      </c>
      <c r="J33" s="102">
        <f t="shared" si="1"/>
        <v>12</v>
      </c>
      <c r="K33" s="103">
        <f t="shared" si="2"/>
        <v>19</v>
      </c>
      <c r="L33" s="83">
        <f t="shared" si="3"/>
        <v>16</v>
      </c>
      <c r="M33" s="91"/>
      <c r="N33" s="91"/>
    </row>
    <row r="34" spans="1:14" x14ac:dyDescent="0.25">
      <c r="A34" s="105">
        <v>45279.723611111112</v>
      </c>
      <c r="B34" s="107" t="s">
        <v>1561</v>
      </c>
      <c r="C34" s="99" t="s">
        <v>1557</v>
      </c>
      <c r="D34" s="99" t="s">
        <v>1558</v>
      </c>
      <c r="E34" s="93">
        <v>25.23</v>
      </c>
      <c r="F34" s="94" t="s">
        <v>1543</v>
      </c>
      <c r="G34" s="95" t="s">
        <v>83</v>
      </c>
      <c r="H34" s="94">
        <v>104128299</v>
      </c>
      <c r="I34" s="101">
        <f t="shared" si="0"/>
        <v>45279.723611111112</v>
      </c>
      <c r="J34" s="102">
        <f t="shared" si="1"/>
        <v>12</v>
      </c>
      <c r="K34" s="103">
        <f t="shared" si="2"/>
        <v>19</v>
      </c>
      <c r="L34" s="83">
        <f t="shared" si="3"/>
        <v>17</v>
      </c>
      <c r="M34" s="91"/>
      <c r="N34" s="91"/>
    </row>
    <row r="35" spans="1:14" x14ac:dyDescent="0.25">
      <c r="A35" s="105">
        <v>45279.468055555553</v>
      </c>
      <c r="B35" s="107" t="s">
        <v>1568</v>
      </c>
      <c r="C35" s="99" t="s">
        <v>1562</v>
      </c>
      <c r="D35" s="99" t="s">
        <v>1563</v>
      </c>
      <c r="E35" s="93">
        <v>100.47</v>
      </c>
      <c r="F35" s="94" t="s">
        <v>1543</v>
      </c>
      <c r="G35" s="95" t="s">
        <v>85</v>
      </c>
      <c r="H35" s="94">
        <v>103080780</v>
      </c>
      <c r="I35" s="101">
        <f t="shared" si="0"/>
        <v>45279.468055555553</v>
      </c>
      <c r="J35" s="102">
        <f t="shared" si="1"/>
        <v>12</v>
      </c>
      <c r="K35" s="103">
        <f t="shared" si="2"/>
        <v>19</v>
      </c>
      <c r="L35" s="83">
        <f t="shared" si="3"/>
        <v>11</v>
      </c>
      <c r="M35" s="91"/>
      <c r="N35" s="91"/>
    </row>
    <row r="36" spans="1:14" x14ac:dyDescent="0.25">
      <c r="A36" s="105">
        <v>45279.602777777778</v>
      </c>
      <c r="B36" s="107" t="s">
        <v>1575</v>
      </c>
      <c r="C36" s="99" t="s">
        <v>1576</v>
      </c>
      <c r="D36" s="99" t="s">
        <v>1577</v>
      </c>
      <c r="E36" s="93">
        <v>141</v>
      </c>
      <c r="F36" s="94" t="s">
        <v>1543</v>
      </c>
      <c r="G36" s="95" t="s">
        <v>87</v>
      </c>
      <c r="H36" s="94">
        <v>104346549</v>
      </c>
      <c r="I36" s="101">
        <f t="shared" si="0"/>
        <v>45279.602777777778</v>
      </c>
      <c r="J36" s="102">
        <f t="shared" si="1"/>
        <v>12</v>
      </c>
      <c r="K36" s="103">
        <f t="shared" si="2"/>
        <v>19</v>
      </c>
      <c r="L36" s="83">
        <f t="shared" si="3"/>
        <v>14</v>
      </c>
      <c r="M36" s="91"/>
      <c r="N36" s="91"/>
    </row>
    <row r="37" spans="1:14" x14ac:dyDescent="0.25">
      <c r="A37" s="105">
        <v>45279.512499999997</v>
      </c>
      <c r="B37" s="107" t="s">
        <v>1582</v>
      </c>
      <c r="C37" s="99" t="s">
        <v>1569</v>
      </c>
      <c r="D37" s="99" t="s">
        <v>1570</v>
      </c>
      <c r="E37" s="93">
        <v>112.47</v>
      </c>
      <c r="F37" s="94" t="s">
        <v>1543</v>
      </c>
      <c r="G37" s="95" t="s">
        <v>89</v>
      </c>
      <c r="H37" s="94">
        <v>103401194</v>
      </c>
      <c r="I37" s="101">
        <f t="shared" si="0"/>
        <v>45279.512499999997</v>
      </c>
      <c r="J37" s="102">
        <f t="shared" si="1"/>
        <v>12</v>
      </c>
      <c r="K37" s="103">
        <f t="shared" si="2"/>
        <v>19</v>
      </c>
      <c r="L37" s="83">
        <f t="shared" si="3"/>
        <v>12</v>
      </c>
      <c r="M37" s="91"/>
      <c r="N37" s="91"/>
    </row>
    <row r="38" spans="1:14" x14ac:dyDescent="0.25">
      <c r="A38" s="105">
        <v>45279.477083333331</v>
      </c>
      <c r="B38" s="107" t="s">
        <v>1586</v>
      </c>
      <c r="C38" s="99" t="s">
        <v>1548</v>
      </c>
      <c r="D38" s="99" t="s">
        <v>1549</v>
      </c>
      <c r="E38" s="93">
        <v>98.64</v>
      </c>
      <c r="F38" s="94" t="s">
        <v>1544</v>
      </c>
      <c r="G38" s="95" t="s">
        <v>91</v>
      </c>
      <c r="H38" s="94">
        <v>104542745</v>
      </c>
      <c r="I38" s="101">
        <f t="shared" si="0"/>
        <v>45279.477083333331</v>
      </c>
      <c r="J38" s="102">
        <f t="shared" si="1"/>
        <v>12</v>
      </c>
      <c r="K38" s="103">
        <f t="shared" si="2"/>
        <v>19</v>
      </c>
      <c r="L38" s="83">
        <f t="shared" si="3"/>
        <v>11</v>
      </c>
      <c r="M38" s="91"/>
      <c r="N38" s="91"/>
    </row>
    <row r="39" spans="1:14" x14ac:dyDescent="0.25">
      <c r="A39" s="105">
        <v>45279.586805555555</v>
      </c>
      <c r="B39" s="107" t="s">
        <v>1589</v>
      </c>
      <c r="C39" s="99" t="s">
        <v>1559</v>
      </c>
      <c r="D39" s="99" t="s">
        <v>1560</v>
      </c>
      <c r="E39" s="93">
        <v>77.040000000000006</v>
      </c>
      <c r="F39" s="94" t="s">
        <v>1543</v>
      </c>
      <c r="G39" s="95" t="s">
        <v>93</v>
      </c>
      <c r="H39" s="94">
        <v>102532729</v>
      </c>
      <c r="I39" s="101">
        <f t="shared" si="0"/>
        <v>45279.586805555555</v>
      </c>
      <c r="J39" s="102">
        <f t="shared" si="1"/>
        <v>12</v>
      </c>
      <c r="K39" s="103">
        <f t="shared" si="2"/>
        <v>19</v>
      </c>
      <c r="L39" s="83">
        <f t="shared" si="3"/>
        <v>14</v>
      </c>
      <c r="M39" s="91"/>
      <c r="N39" s="91"/>
    </row>
    <row r="40" spans="1:14" x14ac:dyDescent="0.25">
      <c r="A40" s="105">
        <v>45279.754861111112</v>
      </c>
      <c r="B40" s="107" t="s">
        <v>1590</v>
      </c>
      <c r="C40" s="99" t="s">
        <v>1571</v>
      </c>
      <c r="D40" s="99" t="s">
        <v>1572</v>
      </c>
      <c r="E40" s="93">
        <v>100</v>
      </c>
      <c r="F40" s="94" t="s">
        <v>1543</v>
      </c>
      <c r="G40" s="95" t="s">
        <v>95</v>
      </c>
      <c r="H40" s="94">
        <v>105446244</v>
      </c>
      <c r="I40" s="101">
        <f t="shared" si="0"/>
        <v>45279.754861111112</v>
      </c>
      <c r="J40" s="102">
        <f t="shared" si="1"/>
        <v>12</v>
      </c>
      <c r="K40" s="103">
        <f t="shared" si="2"/>
        <v>19</v>
      </c>
      <c r="L40" s="83">
        <f t="shared" si="3"/>
        <v>18</v>
      </c>
      <c r="M40" s="91"/>
      <c r="N40" s="91"/>
    </row>
    <row r="41" spans="1:14" x14ac:dyDescent="0.25">
      <c r="A41" s="105">
        <v>45279.426388888889</v>
      </c>
      <c r="B41" s="107" t="s">
        <v>1591</v>
      </c>
      <c r="C41" s="99" t="s">
        <v>1550</v>
      </c>
      <c r="D41" s="99" t="s">
        <v>1551</v>
      </c>
      <c r="E41" s="93">
        <v>16.13</v>
      </c>
      <c r="F41" s="94" t="s">
        <v>1543</v>
      </c>
      <c r="G41" s="95" t="s">
        <v>97</v>
      </c>
      <c r="H41" s="94">
        <v>103724646</v>
      </c>
      <c r="I41" s="101">
        <f t="shared" si="0"/>
        <v>45279.426388888889</v>
      </c>
      <c r="J41" s="102">
        <f t="shared" si="1"/>
        <v>12</v>
      </c>
      <c r="K41" s="103">
        <f t="shared" si="2"/>
        <v>19</v>
      </c>
      <c r="L41" s="83">
        <f t="shared" si="3"/>
        <v>10</v>
      </c>
      <c r="M41" s="91"/>
      <c r="N41" s="91"/>
    </row>
    <row r="42" spans="1:14" x14ac:dyDescent="0.25">
      <c r="A42" s="105">
        <v>45279.791666666664</v>
      </c>
      <c r="B42" s="107" t="s">
        <v>1592</v>
      </c>
      <c r="C42" s="99" t="s">
        <v>1557</v>
      </c>
      <c r="D42" s="99" t="s">
        <v>1558</v>
      </c>
      <c r="E42" s="93">
        <v>101.36</v>
      </c>
      <c r="F42" s="94" t="s">
        <v>1543</v>
      </c>
      <c r="G42" s="95" t="s">
        <v>99</v>
      </c>
      <c r="H42" s="94">
        <v>105661598</v>
      </c>
      <c r="I42" s="101">
        <f t="shared" si="0"/>
        <v>45279.791666666664</v>
      </c>
      <c r="J42" s="102">
        <f t="shared" si="1"/>
        <v>12</v>
      </c>
      <c r="K42" s="103">
        <f t="shared" si="2"/>
        <v>19</v>
      </c>
      <c r="L42" s="83">
        <f t="shared" si="3"/>
        <v>19</v>
      </c>
      <c r="M42" s="91"/>
      <c r="N42" s="91"/>
    </row>
    <row r="43" spans="1:14" x14ac:dyDescent="0.25">
      <c r="A43" s="105">
        <v>45279.493750000001</v>
      </c>
      <c r="B43" s="107" t="s">
        <v>1593</v>
      </c>
      <c r="C43" s="99" t="s">
        <v>1555</v>
      </c>
      <c r="D43" s="99" t="s">
        <v>1556</v>
      </c>
      <c r="E43" s="93">
        <v>140.97999999999999</v>
      </c>
      <c r="F43" s="94" t="s">
        <v>1543</v>
      </c>
      <c r="G43" s="95" t="s">
        <v>101</v>
      </c>
      <c r="H43" s="94">
        <v>104770846</v>
      </c>
      <c r="I43" s="101">
        <f t="shared" si="0"/>
        <v>45279.493750000001</v>
      </c>
      <c r="J43" s="102">
        <f t="shared" si="1"/>
        <v>12</v>
      </c>
      <c r="K43" s="103">
        <f t="shared" si="2"/>
        <v>19</v>
      </c>
      <c r="L43" s="83">
        <f t="shared" si="3"/>
        <v>11</v>
      </c>
      <c r="M43" s="91"/>
      <c r="N43" s="91"/>
    </row>
    <row r="44" spans="1:14" x14ac:dyDescent="0.25">
      <c r="A44" s="105">
        <v>45279.446527777778</v>
      </c>
      <c r="B44" s="107" t="s">
        <v>1594</v>
      </c>
      <c r="C44" s="99" t="s">
        <v>1548</v>
      </c>
      <c r="D44" s="99" t="s">
        <v>1549</v>
      </c>
      <c r="E44" s="93">
        <v>43.43</v>
      </c>
      <c r="F44" s="94" t="s">
        <v>1543</v>
      </c>
      <c r="G44" s="95" t="s">
        <v>103</v>
      </c>
      <c r="H44" s="94">
        <v>103775511</v>
      </c>
      <c r="I44" s="101">
        <f t="shared" si="0"/>
        <v>45279.446527777778</v>
      </c>
      <c r="J44" s="102">
        <f t="shared" si="1"/>
        <v>12</v>
      </c>
      <c r="K44" s="103">
        <f t="shared" si="2"/>
        <v>19</v>
      </c>
      <c r="L44" s="83">
        <f t="shared" si="3"/>
        <v>10</v>
      </c>
    </row>
    <row r="45" spans="1:14" x14ac:dyDescent="0.25">
      <c r="A45" s="105">
        <v>45279.601388888892</v>
      </c>
      <c r="B45" s="107" t="s">
        <v>1595</v>
      </c>
      <c r="C45" s="99" t="s">
        <v>1550</v>
      </c>
      <c r="D45" s="99" t="s">
        <v>1551</v>
      </c>
      <c r="E45" s="93">
        <v>136.59</v>
      </c>
      <c r="F45" s="94" t="s">
        <v>1544</v>
      </c>
      <c r="G45" s="95" t="s">
        <v>105</v>
      </c>
      <c r="H45" s="94">
        <v>105057101</v>
      </c>
      <c r="I45" s="101">
        <f t="shared" si="0"/>
        <v>45279.601388888892</v>
      </c>
      <c r="J45" s="102">
        <f t="shared" si="1"/>
        <v>12</v>
      </c>
      <c r="K45" s="103">
        <f t="shared" si="2"/>
        <v>19</v>
      </c>
      <c r="L45" s="83">
        <f t="shared" si="3"/>
        <v>14</v>
      </c>
    </row>
    <row r="46" spans="1:14" x14ac:dyDescent="0.25">
      <c r="A46" s="105">
        <v>45279.751388888886</v>
      </c>
      <c r="B46" s="107" t="s">
        <v>1597</v>
      </c>
      <c r="C46" s="99" t="s">
        <v>1552</v>
      </c>
      <c r="D46" s="99" t="s">
        <v>1553</v>
      </c>
      <c r="E46" s="93">
        <v>152</v>
      </c>
      <c r="F46" s="94" t="s">
        <v>1543</v>
      </c>
      <c r="G46" s="95" t="s">
        <v>107</v>
      </c>
      <c r="H46" s="94">
        <v>102838291</v>
      </c>
      <c r="I46" s="101">
        <f t="shared" si="0"/>
        <v>45279.751388888886</v>
      </c>
      <c r="J46" s="102">
        <f t="shared" si="1"/>
        <v>12</v>
      </c>
      <c r="K46" s="103">
        <f t="shared" si="2"/>
        <v>19</v>
      </c>
      <c r="L46" s="83">
        <f t="shared" si="3"/>
        <v>18</v>
      </c>
    </row>
    <row r="47" spans="1:14" x14ac:dyDescent="0.25">
      <c r="A47" s="105">
        <v>45279.477777777778</v>
      </c>
      <c r="B47" s="107" t="s">
        <v>1547</v>
      </c>
      <c r="C47" s="99" t="s">
        <v>1555</v>
      </c>
      <c r="D47" s="99" t="s">
        <v>1556</v>
      </c>
      <c r="E47" s="93">
        <v>56.48</v>
      </c>
      <c r="F47" s="94" t="s">
        <v>1543</v>
      </c>
      <c r="G47" s="95" t="s">
        <v>109</v>
      </c>
      <c r="H47" s="94">
        <v>105615216</v>
      </c>
      <c r="I47" s="101">
        <f t="shared" si="0"/>
        <v>45279.477777777778</v>
      </c>
      <c r="J47" s="102">
        <f t="shared" si="1"/>
        <v>12</v>
      </c>
      <c r="K47" s="103">
        <f t="shared" si="2"/>
        <v>19</v>
      </c>
      <c r="L47" s="83">
        <f t="shared" si="3"/>
        <v>11</v>
      </c>
    </row>
    <row r="48" spans="1:14" x14ac:dyDescent="0.25">
      <c r="A48" s="105">
        <v>45279.690972222219</v>
      </c>
      <c r="B48" s="107" t="s">
        <v>1554</v>
      </c>
      <c r="C48" s="99" t="s">
        <v>1557</v>
      </c>
      <c r="D48" s="99" t="s">
        <v>1558</v>
      </c>
      <c r="E48" s="93">
        <v>36.520000000000003</v>
      </c>
      <c r="F48" s="94" t="s">
        <v>1543</v>
      </c>
      <c r="G48" s="95" t="s">
        <v>111</v>
      </c>
      <c r="H48" s="94">
        <v>103498869</v>
      </c>
      <c r="I48" s="101">
        <f t="shared" si="0"/>
        <v>45279.690972222219</v>
      </c>
      <c r="J48" s="102">
        <f t="shared" si="1"/>
        <v>12</v>
      </c>
      <c r="K48" s="103">
        <f t="shared" si="2"/>
        <v>19</v>
      </c>
      <c r="L48" s="83">
        <f t="shared" si="3"/>
        <v>16</v>
      </c>
    </row>
    <row r="49" spans="1:12" x14ac:dyDescent="0.25">
      <c r="A49" s="105">
        <v>45279.629166666666</v>
      </c>
      <c r="B49" s="107" t="s">
        <v>1561</v>
      </c>
      <c r="C49" s="99" t="s">
        <v>1559</v>
      </c>
      <c r="D49" s="99" t="s">
        <v>1560</v>
      </c>
      <c r="E49" s="93">
        <v>60.61</v>
      </c>
      <c r="F49" s="94" t="s">
        <v>1543</v>
      </c>
      <c r="G49" s="95" t="s">
        <v>113</v>
      </c>
      <c r="H49" s="94">
        <v>102760124</v>
      </c>
      <c r="I49" s="101">
        <f t="shared" si="0"/>
        <v>45279.629166666666</v>
      </c>
      <c r="J49" s="102">
        <f t="shared" si="1"/>
        <v>12</v>
      </c>
      <c r="K49" s="103">
        <f t="shared" si="2"/>
        <v>19</v>
      </c>
      <c r="L49" s="83">
        <f t="shared" si="3"/>
        <v>15</v>
      </c>
    </row>
    <row r="50" spans="1:12" x14ac:dyDescent="0.25">
      <c r="A50" s="105">
        <v>45279.678472222222</v>
      </c>
      <c r="B50" s="107" t="s">
        <v>1568</v>
      </c>
      <c r="C50" s="99" t="s">
        <v>1562</v>
      </c>
      <c r="D50" s="99" t="s">
        <v>1563</v>
      </c>
      <c r="E50" s="93">
        <v>129.09</v>
      </c>
      <c r="F50" s="94" t="s">
        <v>1543</v>
      </c>
      <c r="G50" s="95" t="s">
        <v>115</v>
      </c>
      <c r="H50" s="94">
        <v>103925516</v>
      </c>
      <c r="I50" s="101">
        <f t="shared" si="0"/>
        <v>45279.678472222222</v>
      </c>
      <c r="J50" s="102">
        <f t="shared" si="1"/>
        <v>12</v>
      </c>
      <c r="K50" s="103">
        <f t="shared" si="2"/>
        <v>19</v>
      </c>
      <c r="L50" s="83">
        <f t="shared" si="3"/>
        <v>16</v>
      </c>
    </row>
    <row r="51" spans="1:12" x14ac:dyDescent="0.25">
      <c r="A51" s="105">
        <v>45279.423611111109</v>
      </c>
      <c r="B51" s="107" t="s">
        <v>1575</v>
      </c>
      <c r="C51" s="99" t="s">
        <v>1564</v>
      </c>
      <c r="D51" s="99" t="s">
        <v>1565</v>
      </c>
      <c r="E51" s="93">
        <v>12.71</v>
      </c>
      <c r="F51" s="94" t="s">
        <v>1543</v>
      </c>
      <c r="G51" s="95" t="s">
        <v>117</v>
      </c>
      <c r="H51" s="94">
        <v>105371316</v>
      </c>
      <c r="I51" s="101">
        <f t="shared" si="0"/>
        <v>45279.423611111109</v>
      </c>
      <c r="J51" s="102">
        <f t="shared" si="1"/>
        <v>12</v>
      </c>
      <c r="K51" s="103">
        <f t="shared" si="2"/>
        <v>19</v>
      </c>
      <c r="L51" s="83">
        <f t="shared" si="3"/>
        <v>10</v>
      </c>
    </row>
    <row r="52" spans="1:12" x14ac:dyDescent="0.25">
      <c r="A52" s="105">
        <v>45279.626388888886</v>
      </c>
      <c r="B52" s="107" t="s">
        <v>1582</v>
      </c>
      <c r="C52" s="99" t="s">
        <v>1566</v>
      </c>
      <c r="D52" s="99" t="s">
        <v>1567</v>
      </c>
      <c r="E52" s="93">
        <v>20</v>
      </c>
      <c r="F52" s="94" t="s">
        <v>1543</v>
      </c>
      <c r="G52" s="95" t="s">
        <v>120</v>
      </c>
      <c r="H52" s="94">
        <v>105340347</v>
      </c>
      <c r="I52" s="101">
        <f t="shared" si="0"/>
        <v>45279.626388888886</v>
      </c>
      <c r="J52" s="102">
        <f t="shared" si="1"/>
        <v>12</v>
      </c>
      <c r="K52" s="103">
        <f t="shared" si="2"/>
        <v>19</v>
      </c>
      <c r="L52" s="83">
        <f t="shared" si="3"/>
        <v>15</v>
      </c>
    </row>
    <row r="53" spans="1:12" x14ac:dyDescent="0.25">
      <c r="A53" s="105">
        <v>45279.454861111109</v>
      </c>
      <c r="B53" s="107" t="s">
        <v>1586</v>
      </c>
      <c r="C53" s="99" t="s">
        <v>1569</v>
      </c>
      <c r="D53" s="99" t="s">
        <v>1570</v>
      </c>
      <c r="E53" s="93">
        <v>133.18</v>
      </c>
      <c r="F53" s="94" t="s">
        <v>1543</v>
      </c>
      <c r="G53" s="95" t="s">
        <v>122</v>
      </c>
      <c r="H53" s="94">
        <v>105129199</v>
      </c>
      <c r="I53" s="101">
        <f t="shared" si="0"/>
        <v>45279.454861111109</v>
      </c>
      <c r="J53" s="102">
        <f t="shared" si="1"/>
        <v>12</v>
      </c>
      <c r="K53" s="103">
        <f t="shared" si="2"/>
        <v>19</v>
      </c>
      <c r="L53" s="83">
        <f t="shared" si="3"/>
        <v>10</v>
      </c>
    </row>
    <row r="54" spans="1:12" x14ac:dyDescent="0.25">
      <c r="A54" s="105">
        <v>45279.504861111112</v>
      </c>
      <c r="B54" s="107" t="s">
        <v>1589</v>
      </c>
      <c r="C54" s="99" t="s">
        <v>1571</v>
      </c>
      <c r="D54" s="99" t="s">
        <v>1572</v>
      </c>
      <c r="E54" s="93">
        <v>216</v>
      </c>
      <c r="F54" s="94" t="s">
        <v>1543</v>
      </c>
      <c r="G54" s="95" t="s">
        <v>124</v>
      </c>
      <c r="H54" s="94">
        <v>105246958</v>
      </c>
      <c r="I54" s="101">
        <f t="shared" si="0"/>
        <v>45279.504861111112</v>
      </c>
      <c r="J54" s="102">
        <f t="shared" si="1"/>
        <v>12</v>
      </c>
      <c r="K54" s="103">
        <f t="shared" si="2"/>
        <v>19</v>
      </c>
      <c r="L54" s="83">
        <f t="shared" si="3"/>
        <v>12</v>
      </c>
    </row>
    <row r="55" spans="1:12" x14ac:dyDescent="0.25">
      <c r="A55" s="105">
        <v>45279.522916666669</v>
      </c>
      <c r="B55" s="107" t="s">
        <v>1590</v>
      </c>
      <c r="C55" s="99" t="s">
        <v>1573</v>
      </c>
      <c r="D55" s="99" t="s">
        <v>1574</v>
      </c>
      <c r="E55" s="93">
        <v>238</v>
      </c>
      <c r="F55" s="94" t="s">
        <v>1543</v>
      </c>
      <c r="G55" s="95" t="s">
        <v>126</v>
      </c>
      <c r="H55" s="94">
        <v>102829922</v>
      </c>
      <c r="I55" s="101">
        <f t="shared" si="0"/>
        <v>45279.522916666669</v>
      </c>
      <c r="J55" s="102">
        <f t="shared" si="1"/>
        <v>12</v>
      </c>
      <c r="K55" s="103">
        <f t="shared" si="2"/>
        <v>19</v>
      </c>
      <c r="L55" s="83">
        <f t="shared" si="3"/>
        <v>12</v>
      </c>
    </row>
    <row r="56" spans="1:12" x14ac:dyDescent="0.25">
      <c r="A56" s="105">
        <v>45279.534722222219</v>
      </c>
      <c r="B56" s="107" t="s">
        <v>1591</v>
      </c>
      <c r="C56" s="99" t="s">
        <v>1576</v>
      </c>
      <c r="D56" s="99" t="s">
        <v>1577</v>
      </c>
      <c r="E56" s="93">
        <v>200</v>
      </c>
      <c r="F56" s="94" t="s">
        <v>1544</v>
      </c>
      <c r="G56" s="95" t="s">
        <v>128</v>
      </c>
      <c r="H56" s="94">
        <v>104038492</v>
      </c>
      <c r="I56" s="101">
        <f t="shared" si="0"/>
        <v>45279.534722222219</v>
      </c>
      <c r="J56" s="102">
        <f t="shared" si="1"/>
        <v>12</v>
      </c>
      <c r="K56" s="103">
        <f t="shared" si="2"/>
        <v>19</v>
      </c>
      <c r="L56" s="83">
        <f t="shared" si="3"/>
        <v>12</v>
      </c>
    </row>
    <row r="57" spans="1:12" x14ac:dyDescent="0.25">
      <c r="A57" s="105">
        <v>45279.559027777781</v>
      </c>
      <c r="B57" s="107" t="s">
        <v>1592</v>
      </c>
      <c r="C57" s="99" t="s">
        <v>1578</v>
      </c>
      <c r="D57" s="99" t="s">
        <v>1579</v>
      </c>
      <c r="E57" s="93">
        <v>210</v>
      </c>
      <c r="F57" s="94" t="s">
        <v>1543</v>
      </c>
      <c r="G57" s="95" t="s">
        <v>130</v>
      </c>
      <c r="H57" s="94">
        <v>104684986</v>
      </c>
      <c r="I57" s="101">
        <f t="shared" si="0"/>
        <v>45279.559027777781</v>
      </c>
      <c r="J57" s="102">
        <f t="shared" si="1"/>
        <v>12</v>
      </c>
      <c r="K57" s="103">
        <f t="shared" si="2"/>
        <v>19</v>
      </c>
      <c r="L57" s="83">
        <f t="shared" si="3"/>
        <v>13</v>
      </c>
    </row>
    <row r="58" spans="1:12" x14ac:dyDescent="0.25">
      <c r="A58" s="105">
        <v>45279.6875</v>
      </c>
      <c r="B58" s="107" t="s">
        <v>1593</v>
      </c>
      <c r="C58" s="99" t="s">
        <v>1580</v>
      </c>
      <c r="D58" s="99" t="s">
        <v>1581</v>
      </c>
      <c r="E58" s="93">
        <v>47</v>
      </c>
      <c r="F58" s="94" t="s">
        <v>1544</v>
      </c>
      <c r="G58" s="95" t="s">
        <v>132</v>
      </c>
      <c r="H58" s="94">
        <v>105094065</v>
      </c>
      <c r="I58" s="101">
        <f t="shared" si="0"/>
        <v>45279.6875</v>
      </c>
      <c r="J58" s="102">
        <f t="shared" si="1"/>
        <v>12</v>
      </c>
      <c r="K58" s="103">
        <f t="shared" si="2"/>
        <v>19</v>
      </c>
      <c r="L58" s="83">
        <f t="shared" si="3"/>
        <v>16</v>
      </c>
    </row>
    <row r="59" spans="1:12" x14ac:dyDescent="0.25">
      <c r="A59" s="105">
        <v>45279.779861111114</v>
      </c>
      <c r="B59" s="107" t="s">
        <v>1594</v>
      </c>
      <c r="C59" s="99" t="s">
        <v>1548</v>
      </c>
      <c r="D59" s="99" t="s">
        <v>1549</v>
      </c>
      <c r="E59" s="93">
        <v>97.24</v>
      </c>
      <c r="F59" s="94" t="s">
        <v>1543</v>
      </c>
      <c r="G59" s="95" t="s">
        <v>134</v>
      </c>
      <c r="H59" s="94">
        <v>105699908</v>
      </c>
      <c r="I59" s="101">
        <f t="shared" si="0"/>
        <v>45279.779861111114</v>
      </c>
      <c r="J59" s="102">
        <f t="shared" si="1"/>
        <v>12</v>
      </c>
      <c r="K59" s="103">
        <f t="shared" si="2"/>
        <v>19</v>
      </c>
      <c r="L59" s="83">
        <f t="shared" si="3"/>
        <v>18</v>
      </c>
    </row>
    <row r="60" spans="1:12" x14ac:dyDescent="0.25">
      <c r="A60" s="105">
        <v>45279.431944444441</v>
      </c>
      <c r="B60" s="107" t="s">
        <v>1595</v>
      </c>
      <c r="C60" s="99" t="s">
        <v>1583</v>
      </c>
      <c r="D60" s="99" t="s">
        <v>1574</v>
      </c>
      <c r="E60" s="93">
        <v>165</v>
      </c>
      <c r="F60" s="94" t="s">
        <v>1543</v>
      </c>
      <c r="G60" s="95" t="s">
        <v>136</v>
      </c>
      <c r="H60" s="94">
        <v>104815944</v>
      </c>
      <c r="I60" s="101">
        <f t="shared" si="0"/>
        <v>45279.431944444441</v>
      </c>
      <c r="J60" s="102">
        <f t="shared" si="1"/>
        <v>12</v>
      </c>
      <c r="K60" s="103">
        <f t="shared" si="2"/>
        <v>19</v>
      </c>
      <c r="L60" s="83">
        <f t="shared" si="3"/>
        <v>10</v>
      </c>
    </row>
    <row r="61" spans="1:12" x14ac:dyDescent="0.25">
      <c r="A61" s="105">
        <v>45279.539583333331</v>
      </c>
      <c r="B61" s="107" t="s">
        <v>1597</v>
      </c>
      <c r="C61" s="99" t="s">
        <v>1584</v>
      </c>
      <c r="D61" s="99" t="s">
        <v>1585</v>
      </c>
      <c r="E61" s="93">
        <v>265.70999999999998</v>
      </c>
      <c r="F61" s="94" t="s">
        <v>1544</v>
      </c>
      <c r="G61" s="95" t="s">
        <v>138</v>
      </c>
      <c r="H61" s="94">
        <v>103959628</v>
      </c>
      <c r="I61" s="101">
        <f t="shared" si="0"/>
        <v>45279.539583333331</v>
      </c>
      <c r="J61" s="102">
        <f t="shared" si="1"/>
        <v>12</v>
      </c>
      <c r="K61" s="103">
        <f t="shared" si="2"/>
        <v>19</v>
      </c>
      <c r="L61" s="83">
        <f t="shared" si="3"/>
        <v>12</v>
      </c>
    </row>
    <row r="62" spans="1:12" x14ac:dyDescent="0.25">
      <c r="A62" s="105">
        <v>45279.576388888891</v>
      </c>
      <c r="B62" s="107" t="s">
        <v>1547</v>
      </c>
      <c r="C62" s="99" t="s">
        <v>1557</v>
      </c>
      <c r="D62" s="99" t="s">
        <v>1558</v>
      </c>
      <c r="E62" s="93">
        <v>46.79</v>
      </c>
      <c r="F62" s="94" t="s">
        <v>1544</v>
      </c>
      <c r="G62" s="95" t="s">
        <v>140</v>
      </c>
      <c r="H62" s="94">
        <v>105579688</v>
      </c>
      <c r="I62" s="101">
        <f t="shared" si="0"/>
        <v>45279.576388888891</v>
      </c>
      <c r="J62" s="102">
        <f t="shared" si="1"/>
        <v>12</v>
      </c>
      <c r="K62" s="103">
        <f t="shared" si="2"/>
        <v>19</v>
      </c>
      <c r="L62" s="83">
        <f t="shared" si="3"/>
        <v>13</v>
      </c>
    </row>
    <row r="63" spans="1:12" x14ac:dyDescent="0.25">
      <c r="A63" s="105">
        <v>45279.577777777777</v>
      </c>
      <c r="B63" s="107" t="s">
        <v>1554</v>
      </c>
      <c r="C63" s="99" t="s">
        <v>1587</v>
      </c>
      <c r="D63" s="99" t="s">
        <v>1588</v>
      </c>
      <c r="E63" s="93">
        <v>60</v>
      </c>
      <c r="F63" s="94" t="s">
        <v>1543</v>
      </c>
      <c r="G63" s="95" t="s">
        <v>142</v>
      </c>
      <c r="H63" s="94">
        <v>105498447</v>
      </c>
      <c r="I63" s="101">
        <f t="shared" si="0"/>
        <v>45279.577777777777</v>
      </c>
      <c r="J63" s="102">
        <f t="shared" si="1"/>
        <v>12</v>
      </c>
      <c r="K63" s="103">
        <f t="shared" si="2"/>
        <v>19</v>
      </c>
      <c r="L63" s="83">
        <f t="shared" si="3"/>
        <v>13</v>
      </c>
    </row>
    <row r="64" spans="1:12" x14ac:dyDescent="0.25">
      <c r="A64" s="105">
        <v>45279.686111111114</v>
      </c>
      <c r="B64" s="107" t="s">
        <v>1561</v>
      </c>
      <c r="C64" s="99" t="s">
        <v>1564</v>
      </c>
      <c r="D64" s="99" t="s">
        <v>1565</v>
      </c>
      <c r="E64" s="93">
        <v>60</v>
      </c>
      <c r="F64" s="94" t="s">
        <v>1543</v>
      </c>
      <c r="G64" s="95" t="s">
        <v>146</v>
      </c>
      <c r="H64" s="94">
        <v>104805070</v>
      </c>
      <c r="I64" s="101">
        <f t="shared" si="0"/>
        <v>45279.686111111114</v>
      </c>
      <c r="J64" s="102">
        <f t="shared" si="1"/>
        <v>12</v>
      </c>
      <c r="K64" s="103">
        <f t="shared" si="2"/>
        <v>19</v>
      </c>
      <c r="L64" s="83">
        <f t="shared" si="3"/>
        <v>16</v>
      </c>
    </row>
    <row r="65" spans="1:12" x14ac:dyDescent="0.25">
      <c r="A65" s="105">
        <v>45279.72152777778</v>
      </c>
      <c r="B65" s="107" t="s">
        <v>1568</v>
      </c>
      <c r="C65" s="99" t="s">
        <v>1548</v>
      </c>
      <c r="D65" s="99" t="s">
        <v>1549</v>
      </c>
      <c r="E65" s="93">
        <v>144</v>
      </c>
      <c r="F65" s="94" t="s">
        <v>1543</v>
      </c>
      <c r="G65" s="95" t="s">
        <v>148</v>
      </c>
      <c r="H65" s="94">
        <v>105266503</v>
      </c>
      <c r="I65" s="101">
        <f t="shared" si="0"/>
        <v>45279.72152777778</v>
      </c>
      <c r="J65" s="102">
        <f t="shared" si="1"/>
        <v>12</v>
      </c>
      <c r="K65" s="103">
        <f t="shared" si="2"/>
        <v>19</v>
      </c>
      <c r="L65" s="83">
        <f t="shared" si="3"/>
        <v>17</v>
      </c>
    </row>
    <row r="66" spans="1:12" x14ac:dyDescent="0.25">
      <c r="A66" s="105">
        <v>45279.481249999997</v>
      </c>
      <c r="B66" s="107" t="s">
        <v>1575</v>
      </c>
      <c r="C66" s="99" t="s">
        <v>1550</v>
      </c>
      <c r="D66" s="99" t="s">
        <v>1551</v>
      </c>
      <c r="E66" s="93">
        <v>133.68</v>
      </c>
      <c r="F66" s="94" t="s">
        <v>1544</v>
      </c>
      <c r="G66" s="95" t="s">
        <v>150</v>
      </c>
      <c r="H66" s="94">
        <v>105057101</v>
      </c>
      <c r="I66" s="101">
        <f t="shared" si="0"/>
        <v>45279.481249999997</v>
      </c>
      <c r="J66" s="102">
        <f t="shared" si="1"/>
        <v>12</v>
      </c>
      <c r="K66" s="103">
        <f t="shared" si="2"/>
        <v>19</v>
      </c>
      <c r="L66" s="83">
        <f t="shared" si="3"/>
        <v>11</v>
      </c>
    </row>
    <row r="67" spans="1:12" x14ac:dyDescent="0.25">
      <c r="A67" s="105">
        <v>45279.731944444444</v>
      </c>
      <c r="B67" s="107" t="s">
        <v>1582</v>
      </c>
      <c r="C67" s="99" t="s">
        <v>1562</v>
      </c>
      <c r="D67" s="99" t="s">
        <v>1563</v>
      </c>
      <c r="E67" s="93">
        <v>85.78</v>
      </c>
      <c r="F67" s="94" t="s">
        <v>1544</v>
      </c>
      <c r="G67" s="95" t="s">
        <v>152</v>
      </c>
      <c r="H67" s="94">
        <v>105048052</v>
      </c>
      <c r="I67" s="101">
        <f t="shared" ref="I67:I130" si="4">A67</f>
        <v>45279.731944444444</v>
      </c>
      <c r="J67" s="102">
        <f t="shared" ref="J67:J130" si="5">MONTH(A67)</f>
        <v>12</v>
      </c>
      <c r="K67" s="103">
        <f t="shared" ref="K67:K130" si="6">DAY(A67)</f>
        <v>19</v>
      </c>
      <c r="L67" s="83">
        <f t="shared" ref="L67:L130" si="7">HOUR(A67)</f>
        <v>17</v>
      </c>
    </row>
    <row r="68" spans="1:12" x14ac:dyDescent="0.25">
      <c r="A68" s="105">
        <v>45279.612500000003</v>
      </c>
      <c r="B68" s="107" t="s">
        <v>1586</v>
      </c>
      <c r="C68" s="99" t="s">
        <v>1552</v>
      </c>
      <c r="D68" s="99" t="s">
        <v>1553</v>
      </c>
      <c r="E68" s="93">
        <v>106</v>
      </c>
      <c r="F68" s="94" t="s">
        <v>1543</v>
      </c>
      <c r="G68" s="95" t="s">
        <v>154</v>
      </c>
      <c r="H68" s="94">
        <v>105201525</v>
      </c>
      <c r="I68" s="101">
        <f t="shared" si="4"/>
        <v>45279.612500000003</v>
      </c>
      <c r="J68" s="102">
        <f t="shared" si="5"/>
        <v>12</v>
      </c>
      <c r="K68" s="103">
        <f t="shared" si="6"/>
        <v>19</v>
      </c>
      <c r="L68" s="83">
        <f t="shared" si="7"/>
        <v>14</v>
      </c>
    </row>
    <row r="69" spans="1:12" x14ac:dyDescent="0.25">
      <c r="A69" s="105">
        <v>45279.609722222223</v>
      </c>
      <c r="B69" s="107" t="s">
        <v>1589</v>
      </c>
      <c r="C69" s="99" t="s">
        <v>1555</v>
      </c>
      <c r="D69" s="99" t="s">
        <v>1556</v>
      </c>
      <c r="E69" s="93">
        <v>150</v>
      </c>
      <c r="F69" s="94" t="s">
        <v>1543</v>
      </c>
      <c r="G69" s="95" t="s">
        <v>156</v>
      </c>
      <c r="H69" s="94">
        <v>101141573</v>
      </c>
      <c r="I69" s="101">
        <f t="shared" si="4"/>
        <v>45279.609722222223</v>
      </c>
      <c r="J69" s="102">
        <f t="shared" si="5"/>
        <v>12</v>
      </c>
      <c r="K69" s="103">
        <f t="shared" si="6"/>
        <v>19</v>
      </c>
      <c r="L69" s="83">
        <f t="shared" si="7"/>
        <v>14</v>
      </c>
    </row>
    <row r="70" spans="1:12" x14ac:dyDescent="0.25">
      <c r="A70" s="105">
        <v>45279.561111111114</v>
      </c>
      <c r="B70" s="107" t="s">
        <v>1590</v>
      </c>
      <c r="C70" s="99" t="s">
        <v>1559</v>
      </c>
      <c r="D70" s="99" t="s">
        <v>1560</v>
      </c>
      <c r="E70" s="93">
        <v>105</v>
      </c>
      <c r="F70" s="94" t="s">
        <v>1543</v>
      </c>
      <c r="G70" s="95" t="s">
        <v>159</v>
      </c>
      <c r="H70" s="94">
        <v>105122838</v>
      </c>
      <c r="I70" s="101">
        <f t="shared" si="4"/>
        <v>45279.561111111114</v>
      </c>
      <c r="J70" s="102">
        <f t="shared" si="5"/>
        <v>12</v>
      </c>
      <c r="K70" s="103">
        <f t="shared" si="6"/>
        <v>19</v>
      </c>
      <c r="L70" s="83">
        <f t="shared" si="7"/>
        <v>13</v>
      </c>
    </row>
    <row r="71" spans="1:12" x14ac:dyDescent="0.25">
      <c r="A71" s="105">
        <v>45279.699305555558</v>
      </c>
      <c r="B71" s="107" t="s">
        <v>1591</v>
      </c>
      <c r="C71" s="99" t="s">
        <v>1548</v>
      </c>
      <c r="D71" s="99" t="s">
        <v>1549</v>
      </c>
      <c r="E71" s="93">
        <v>20</v>
      </c>
      <c r="F71" s="94" t="s">
        <v>1544</v>
      </c>
      <c r="G71" s="95" t="s">
        <v>161</v>
      </c>
      <c r="H71" s="94">
        <v>103078773</v>
      </c>
      <c r="I71" s="101">
        <f t="shared" si="4"/>
        <v>45279.699305555558</v>
      </c>
      <c r="J71" s="102">
        <f t="shared" si="5"/>
        <v>12</v>
      </c>
      <c r="K71" s="103">
        <f t="shared" si="6"/>
        <v>19</v>
      </c>
      <c r="L71" s="83">
        <f t="shared" si="7"/>
        <v>16</v>
      </c>
    </row>
    <row r="72" spans="1:12" x14ac:dyDescent="0.25">
      <c r="A72" s="105">
        <v>45279.48541666667</v>
      </c>
      <c r="B72" s="107" t="s">
        <v>1592</v>
      </c>
      <c r="C72" s="99" t="s">
        <v>1566</v>
      </c>
      <c r="D72" s="99" t="s">
        <v>1567</v>
      </c>
      <c r="E72" s="93">
        <v>44</v>
      </c>
      <c r="F72" s="94" t="s">
        <v>1543</v>
      </c>
      <c r="G72" s="95" t="s">
        <v>163</v>
      </c>
      <c r="H72" s="94">
        <v>105556693</v>
      </c>
      <c r="I72" s="101">
        <f t="shared" si="4"/>
        <v>45279.48541666667</v>
      </c>
      <c r="J72" s="102">
        <f t="shared" si="5"/>
        <v>12</v>
      </c>
      <c r="K72" s="103">
        <f t="shared" si="6"/>
        <v>19</v>
      </c>
      <c r="L72" s="83">
        <f t="shared" si="7"/>
        <v>11</v>
      </c>
    </row>
    <row r="73" spans="1:12" x14ac:dyDescent="0.25">
      <c r="A73" s="105">
        <v>45279.428472222222</v>
      </c>
      <c r="B73" s="107" t="s">
        <v>1593</v>
      </c>
      <c r="C73" s="99" t="s">
        <v>1564</v>
      </c>
      <c r="D73" s="99" t="s">
        <v>1565</v>
      </c>
      <c r="E73" s="93">
        <v>64.790000000000006</v>
      </c>
      <c r="F73" s="94" t="s">
        <v>1543</v>
      </c>
      <c r="G73" s="95" t="s">
        <v>165</v>
      </c>
      <c r="H73" s="94">
        <v>104814895</v>
      </c>
      <c r="I73" s="101">
        <f t="shared" si="4"/>
        <v>45279.428472222222</v>
      </c>
      <c r="J73" s="102">
        <f t="shared" si="5"/>
        <v>12</v>
      </c>
      <c r="K73" s="103">
        <f t="shared" si="6"/>
        <v>19</v>
      </c>
      <c r="L73" s="83">
        <f t="shared" si="7"/>
        <v>10</v>
      </c>
    </row>
    <row r="74" spans="1:12" x14ac:dyDescent="0.25">
      <c r="A74" s="105">
        <v>45279.464583333334</v>
      </c>
      <c r="B74" s="107" t="s">
        <v>1594</v>
      </c>
      <c r="C74" s="99" t="s">
        <v>1548</v>
      </c>
      <c r="D74" s="99" t="s">
        <v>1549</v>
      </c>
      <c r="E74" s="93">
        <v>53</v>
      </c>
      <c r="F74" s="94" t="s">
        <v>1545</v>
      </c>
      <c r="G74" s="95" t="s">
        <v>167</v>
      </c>
      <c r="H74" s="94">
        <v>105214611</v>
      </c>
      <c r="I74" s="101">
        <f t="shared" si="4"/>
        <v>45279.464583333334</v>
      </c>
      <c r="J74" s="102">
        <f t="shared" si="5"/>
        <v>12</v>
      </c>
      <c r="K74" s="103">
        <f t="shared" si="6"/>
        <v>19</v>
      </c>
      <c r="L74" s="83">
        <f t="shared" si="7"/>
        <v>11</v>
      </c>
    </row>
    <row r="75" spans="1:12" x14ac:dyDescent="0.25">
      <c r="A75" s="105">
        <v>45279.648611111108</v>
      </c>
      <c r="B75" s="107" t="s">
        <v>1595</v>
      </c>
      <c r="C75" s="99" t="s">
        <v>1550</v>
      </c>
      <c r="D75" s="99" t="s">
        <v>1551</v>
      </c>
      <c r="E75" s="93">
        <v>50</v>
      </c>
      <c r="F75" s="94" t="s">
        <v>1544</v>
      </c>
      <c r="G75" s="95" t="s">
        <v>169</v>
      </c>
      <c r="H75" s="94">
        <v>104433964</v>
      </c>
      <c r="I75" s="101">
        <f t="shared" si="4"/>
        <v>45279.648611111108</v>
      </c>
      <c r="J75" s="102">
        <f t="shared" si="5"/>
        <v>12</v>
      </c>
      <c r="K75" s="103">
        <f t="shared" si="6"/>
        <v>19</v>
      </c>
      <c r="L75" s="83">
        <f t="shared" si="7"/>
        <v>15</v>
      </c>
    </row>
    <row r="76" spans="1:12" x14ac:dyDescent="0.25">
      <c r="A76" s="105">
        <v>45279.544444444444</v>
      </c>
      <c r="B76" s="107" t="s">
        <v>1597</v>
      </c>
      <c r="C76" s="99" t="s">
        <v>1557</v>
      </c>
      <c r="D76" s="99" t="s">
        <v>1558</v>
      </c>
      <c r="E76" s="93">
        <v>126</v>
      </c>
      <c r="F76" s="94" t="s">
        <v>1543</v>
      </c>
      <c r="G76" s="95" t="s">
        <v>171</v>
      </c>
      <c r="H76" s="94">
        <v>104280400</v>
      </c>
      <c r="I76" s="101">
        <f t="shared" si="4"/>
        <v>45279.544444444444</v>
      </c>
      <c r="J76" s="102">
        <f t="shared" si="5"/>
        <v>12</v>
      </c>
      <c r="K76" s="103">
        <f t="shared" si="6"/>
        <v>19</v>
      </c>
      <c r="L76" s="83">
        <f t="shared" si="7"/>
        <v>13</v>
      </c>
    </row>
    <row r="77" spans="1:12" x14ac:dyDescent="0.25">
      <c r="A77" s="105">
        <v>45279.495138888888</v>
      </c>
      <c r="B77" s="107" t="s">
        <v>1547</v>
      </c>
      <c r="C77" s="99" t="s">
        <v>1562</v>
      </c>
      <c r="D77" s="99" t="s">
        <v>1563</v>
      </c>
      <c r="E77" s="93">
        <v>80.84</v>
      </c>
      <c r="F77" s="94" t="s">
        <v>1544</v>
      </c>
      <c r="G77" s="95" t="s">
        <v>173</v>
      </c>
      <c r="H77" s="94">
        <v>105082401</v>
      </c>
      <c r="I77" s="101">
        <f t="shared" si="4"/>
        <v>45279.495138888888</v>
      </c>
      <c r="J77" s="102">
        <f t="shared" si="5"/>
        <v>12</v>
      </c>
      <c r="K77" s="103">
        <f t="shared" si="6"/>
        <v>19</v>
      </c>
      <c r="L77" s="83">
        <f t="shared" si="7"/>
        <v>11</v>
      </c>
    </row>
    <row r="78" spans="1:12" x14ac:dyDescent="0.25">
      <c r="A78" s="105">
        <v>45279.620833333334</v>
      </c>
      <c r="B78" s="107" t="s">
        <v>1554</v>
      </c>
      <c r="C78" s="99" t="s">
        <v>1576</v>
      </c>
      <c r="D78" s="99" t="s">
        <v>1577</v>
      </c>
      <c r="E78" s="93">
        <v>130</v>
      </c>
      <c r="F78" s="94" t="s">
        <v>1543</v>
      </c>
      <c r="G78" s="95" t="s">
        <v>175</v>
      </c>
      <c r="H78" s="94">
        <v>103334373</v>
      </c>
      <c r="I78" s="101">
        <f t="shared" si="4"/>
        <v>45279.620833333334</v>
      </c>
      <c r="J78" s="102">
        <f t="shared" si="5"/>
        <v>12</v>
      </c>
      <c r="K78" s="103">
        <f t="shared" si="6"/>
        <v>19</v>
      </c>
      <c r="L78" s="83">
        <f t="shared" si="7"/>
        <v>14</v>
      </c>
    </row>
    <row r="79" spans="1:12" x14ac:dyDescent="0.25">
      <c r="A79" s="105">
        <v>45279.686805555553</v>
      </c>
      <c r="B79" s="107" t="s">
        <v>1561</v>
      </c>
      <c r="C79" s="99" t="s">
        <v>1569</v>
      </c>
      <c r="D79" s="99" t="s">
        <v>1570</v>
      </c>
      <c r="E79" s="93">
        <v>421</v>
      </c>
      <c r="F79" s="94" t="s">
        <v>1543</v>
      </c>
      <c r="G79" s="95" t="s">
        <v>177</v>
      </c>
      <c r="H79" s="94">
        <v>105325489</v>
      </c>
      <c r="I79" s="101">
        <f t="shared" si="4"/>
        <v>45279.686805555553</v>
      </c>
      <c r="J79" s="102">
        <f t="shared" si="5"/>
        <v>12</v>
      </c>
      <c r="K79" s="103">
        <f t="shared" si="6"/>
        <v>19</v>
      </c>
      <c r="L79" s="83">
        <f t="shared" si="7"/>
        <v>16</v>
      </c>
    </row>
    <row r="80" spans="1:12" x14ac:dyDescent="0.25">
      <c r="A80" s="105">
        <v>45279.652777777781</v>
      </c>
      <c r="B80" s="107" t="s">
        <v>1568</v>
      </c>
      <c r="C80" s="99" t="s">
        <v>1548</v>
      </c>
      <c r="D80" s="99" t="s">
        <v>1549</v>
      </c>
      <c r="E80" s="93">
        <v>37.53</v>
      </c>
      <c r="F80" s="94" t="s">
        <v>1543</v>
      </c>
      <c r="G80" s="95" t="s">
        <v>179</v>
      </c>
      <c r="H80" s="94">
        <v>100528587</v>
      </c>
      <c r="I80" s="101">
        <f t="shared" si="4"/>
        <v>45279.652777777781</v>
      </c>
      <c r="J80" s="102">
        <f t="shared" si="5"/>
        <v>12</v>
      </c>
      <c r="K80" s="103">
        <f t="shared" si="6"/>
        <v>19</v>
      </c>
      <c r="L80" s="83">
        <f t="shared" si="7"/>
        <v>15</v>
      </c>
    </row>
    <row r="81" spans="1:12" x14ac:dyDescent="0.25">
      <c r="A81" s="105">
        <v>45279.700694444444</v>
      </c>
      <c r="B81" s="107" t="s">
        <v>1575</v>
      </c>
      <c r="C81" s="99" t="s">
        <v>1559</v>
      </c>
      <c r="D81" s="99" t="s">
        <v>1560</v>
      </c>
      <c r="E81" s="93">
        <v>40</v>
      </c>
      <c r="F81" s="94" t="s">
        <v>1543</v>
      </c>
      <c r="G81" s="95" t="s">
        <v>181</v>
      </c>
      <c r="H81" s="94">
        <v>103078773</v>
      </c>
      <c r="I81" s="101">
        <f t="shared" si="4"/>
        <v>45279.700694444444</v>
      </c>
      <c r="J81" s="102">
        <f t="shared" si="5"/>
        <v>12</v>
      </c>
      <c r="K81" s="103">
        <f t="shared" si="6"/>
        <v>19</v>
      </c>
      <c r="L81" s="83">
        <f t="shared" si="7"/>
        <v>16</v>
      </c>
    </row>
    <row r="82" spans="1:12" x14ac:dyDescent="0.25">
      <c r="A82" s="105">
        <v>45279.643055555556</v>
      </c>
      <c r="B82" s="107" t="s">
        <v>1582</v>
      </c>
      <c r="C82" s="99" t="s">
        <v>1571</v>
      </c>
      <c r="D82" s="99" t="s">
        <v>1572</v>
      </c>
      <c r="E82" s="93">
        <v>24</v>
      </c>
      <c r="F82" s="94" t="s">
        <v>1543</v>
      </c>
      <c r="G82" s="95" t="s">
        <v>183</v>
      </c>
      <c r="H82" s="94">
        <v>105516522</v>
      </c>
      <c r="I82" s="101">
        <f t="shared" si="4"/>
        <v>45279.643055555556</v>
      </c>
      <c r="J82" s="102">
        <f t="shared" si="5"/>
        <v>12</v>
      </c>
      <c r="K82" s="103">
        <f t="shared" si="6"/>
        <v>19</v>
      </c>
      <c r="L82" s="83">
        <f t="shared" si="7"/>
        <v>15</v>
      </c>
    </row>
    <row r="83" spans="1:12" x14ac:dyDescent="0.25">
      <c r="A83" s="105">
        <v>45279.638194444444</v>
      </c>
      <c r="B83" s="107" t="s">
        <v>1586</v>
      </c>
      <c r="C83" s="99" t="s">
        <v>1550</v>
      </c>
      <c r="D83" s="99" t="s">
        <v>1551</v>
      </c>
      <c r="E83" s="93">
        <v>149.38</v>
      </c>
      <c r="F83" s="94" t="s">
        <v>1543</v>
      </c>
      <c r="G83" s="95" t="s">
        <v>186</v>
      </c>
      <c r="H83" s="94">
        <v>104685244</v>
      </c>
      <c r="I83" s="101">
        <f t="shared" si="4"/>
        <v>45279.638194444444</v>
      </c>
      <c r="J83" s="102">
        <f t="shared" si="5"/>
        <v>12</v>
      </c>
      <c r="K83" s="103">
        <f t="shared" si="6"/>
        <v>19</v>
      </c>
      <c r="L83" s="83">
        <f t="shared" si="7"/>
        <v>15</v>
      </c>
    </row>
    <row r="84" spans="1:12" x14ac:dyDescent="0.25">
      <c r="A84" s="105">
        <v>45279.445138888892</v>
      </c>
      <c r="B84" s="107" t="s">
        <v>1589</v>
      </c>
      <c r="C84" s="99" t="s">
        <v>1557</v>
      </c>
      <c r="D84" s="99" t="s">
        <v>1558</v>
      </c>
      <c r="E84" s="93">
        <v>100</v>
      </c>
      <c r="F84" s="94" t="s">
        <v>1543</v>
      </c>
      <c r="G84" s="95" t="s">
        <v>188</v>
      </c>
      <c r="H84" s="94">
        <v>103381968</v>
      </c>
      <c r="I84" s="101">
        <f t="shared" si="4"/>
        <v>45279.445138888892</v>
      </c>
      <c r="J84" s="102">
        <f t="shared" si="5"/>
        <v>12</v>
      </c>
      <c r="K84" s="103">
        <f t="shared" si="6"/>
        <v>19</v>
      </c>
      <c r="L84" s="83">
        <f t="shared" si="7"/>
        <v>10</v>
      </c>
    </row>
    <row r="85" spans="1:12" x14ac:dyDescent="0.25">
      <c r="A85" s="105">
        <v>45279.493055555555</v>
      </c>
      <c r="B85" s="107" t="s">
        <v>1590</v>
      </c>
      <c r="C85" s="99" t="s">
        <v>1555</v>
      </c>
      <c r="D85" s="99" t="s">
        <v>1556</v>
      </c>
      <c r="E85" s="93">
        <v>10.4</v>
      </c>
      <c r="F85" s="94" t="s">
        <v>1543</v>
      </c>
      <c r="G85" s="95" t="s">
        <v>190</v>
      </c>
      <c r="H85" s="94">
        <v>105709202</v>
      </c>
      <c r="I85" s="101">
        <f t="shared" si="4"/>
        <v>45279.493055555555</v>
      </c>
      <c r="J85" s="102">
        <f t="shared" si="5"/>
        <v>12</v>
      </c>
      <c r="K85" s="103">
        <f t="shared" si="6"/>
        <v>19</v>
      </c>
      <c r="L85" s="83">
        <f t="shared" si="7"/>
        <v>11</v>
      </c>
    </row>
    <row r="86" spans="1:12" x14ac:dyDescent="0.25">
      <c r="A86" s="105">
        <v>45279.719444444447</v>
      </c>
      <c r="B86" s="107" t="s">
        <v>1591</v>
      </c>
      <c r="C86" s="99" t="s">
        <v>1548</v>
      </c>
      <c r="D86" s="99" t="s">
        <v>1549</v>
      </c>
      <c r="E86" s="93">
        <v>32.5</v>
      </c>
      <c r="F86" s="94" t="s">
        <v>1543</v>
      </c>
      <c r="G86" s="95" t="s">
        <v>192</v>
      </c>
      <c r="H86" s="94">
        <v>105595131</v>
      </c>
      <c r="I86" s="101">
        <f t="shared" si="4"/>
        <v>45279.719444444447</v>
      </c>
      <c r="J86" s="102">
        <f t="shared" si="5"/>
        <v>12</v>
      </c>
      <c r="K86" s="103">
        <f t="shared" si="6"/>
        <v>19</v>
      </c>
      <c r="L86" s="83">
        <f t="shared" si="7"/>
        <v>17</v>
      </c>
    </row>
    <row r="87" spans="1:12" x14ac:dyDescent="0.25">
      <c r="A87" s="105">
        <v>45279.427083333336</v>
      </c>
      <c r="B87" s="107" t="s">
        <v>1592</v>
      </c>
      <c r="C87" s="99" t="s">
        <v>1550</v>
      </c>
      <c r="D87" s="99" t="s">
        <v>1551</v>
      </c>
      <c r="E87" s="93">
        <v>23.67</v>
      </c>
      <c r="F87" s="94" t="s">
        <v>1543</v>
      </c>
      <c r="G87" s="95" t="s">
        <v>194</v>
      </c>
      <c r="H87" s="94">
        <v>103699690</v>
      </c>
      <c r="I87" s="101">
        <f t="shared" si="4"/>
        <v>45279.427083333336</v>
      </c>
      <c r="J87" s="102">
        <f t="shared" si="5"/>
        <v>12</v>
      </c>
      <c r="K87" s="103">
        <f t="shared" si="6"/>
        <v>19</v>
      </c>
      <c r="L87" s="83">
        <f t="shared" si="7"/>
        <v>10</v>
      </c>
    </row>
    <row r="88" spans="1:12" x14ac:dyDescent="0.25">
      <c r="A88" s="105">
        <v>45279.67291666667</v>
      </c>
      <c r="B88" s="107" t="s">
        <v>1593</v>
      </c>
      <c r="C88" s="99" t="s">
        <v>1552</v>
      </c>
      <c r="D88" s="99" t="s">
        <v>1553</v>
      </c>
      <c r="E88" s="93">
        <v>282</v>
      </c>
      <c r="F88" s="94" t="s">
        <v>1543</v>
      </c>
      <c r="G88" s="95" t="s">
        <v>196</v>
      </c>
      <c r="H88" s="94">
        <v>104433405</v>
      </c>
      <c r="I88" s="101">
        <f t="shared" si="4"/>
        <v>45279.67291666667</v>
      </c>
      <c r="J88" s="102">
        <f t="shared" si="5"/>
        <v>12</v>
      </c>
      <c r="K88" s="103">
        <f t="shared" si="6"/>
        <v>19</v>
      </c>
      <c r="L88" s="83">
        <f t="shared" si="7"/>
        <v>16</v>
      </c>
    </row>
    <row r="89" spans="1:12" x14ac:dyDescent="0.25">
      <c r="A89" s="105">
        <v>45305.636805555558</v>
      </c>
      <c r="B89" s="107" t="s">
        <v>1594</v>
      </c>
      <c r="C89" s="99" t="s">
        <v>1555</v>
      </c>
      <c r="D89" s="99" t="s">
        <v>1556</v>
      </c>
      <c r="E89" s="93">
        <v>124.48</v>
      </c>
      <c r="F89" s="94" t="s">
        <v>1543</v>
      </c>
      <c r="G89" s="95" t="s">
        <v>198</v>
      </c>
      <c r="H89" s="94">
        <v>105361197</v>
      </c>
      <c r="I89" s="101">
        <f t="shared" si="4"/>
        <v>45305.636805555558</v>
      </c>
      <c r="J89" s="102">
        <f t="shared" si="5"/>
        <v>1</v>
      </c>
      <c r="K89" s="103">
        <f t="shared" si="6"/>
        <v>14</v>
      </c>
      <c r="L89" s="83">
        <f t="shared" si="7"/>
        <v>15</v>
      </c>
    </row>
    <row r="90" spans="1:12" x14ac:dyDescent="0.25">
      <c r="A90" s="105">
        <v>45305.506249999999</v>
      </c>
      <c r="B90" s="107" t="s">
        <v>1595</v>
      </c>
      <c r="C90" s="99" t="s">
        <v>1557</v>
      </c>
      <c r="D90" s="99" t="s">
        <v>1558</v>
      </c>
      <c r="E90" s="93">
        <v>55.29</v>
      </c>
      <c r="F90" s="94" t="s">
        <v>1543</v>
      </c>
      <c r="G90" s="95" t="s">
        <v>200</v>
      </c>
      <c r="H90" s="94">
        <v>104271440</v>
      </c>
      <c r="I90" s="101">
        <f t="shared" si="4"/>
        <v>45305.506249999999</v>
      </c>
      <c r="J90" s="102">
        <f t="shared" si="5"/>
        <v>1</v>
      </c>
      <c r="K90" s="103">
        <f t="shared" si="6"/>
        <v>14</v>
      </c>
      <c r="L90" s="83">
        <f t="shared" si="7"/>
        <v>12</v>
      </c>
    </row>
    <row r="91" spans="1:12" x14ac:dyDescent="0.25">
      <c r="A91" s="105">
        <v>45305.646527777775</v>
      </c>
      <c r="B91" s="107" t="s">
        <v>1597</v>
      </c>
      <c r="C91" s="99" t="s">
        <v>1559</v>
      </c>
      <c r="D91" s="99" t="s">
        <v>1560</v>
      </c>
      <c r="E91" s="93">
        <v>162</v>
      </c>
      <c r="F91" s="94" t="s">
        <v>1543</v>
      </c>
      <c r="G91" s="95" t="s">
        <v>202</v>
      </c>
      <c r="H91" s="94">
        <v>105438863</v>
      </c>
      <c r="I91" s="101">
        <f t="shared" si="4"/>
        <v>45305.646527777775</v>
      </c>
      <c r="J91" s="102">
        <f t="shared" si="5"/>
        <v>1</v>
      </c>
      <c r="K91" s="103">
        <f t="shared" si="6"/>
        <v>14</v>
      </c>
      <c r="L91" s="83">
        <f t="shared" si="7"/>
        <v>15</v>
      </c>
    </row>
    <row r="92" spans="1:12" x14ac:dyDescent="0.25">
      <c r="A92" s="105">
        <v>45305.563888888886</v>
      </c>
      <c r="B92" s="107" t="s">
        <v>1547</v>
      </c>
      <c r="C92" s="99" t="s">
        <v>1562</v>
      </c>
      <c r="D92" s="99" t="s">
        <v>1563</v>
      </c>
      <c r="E92" s="93">
        <v>100</v>
      </c>
      <c r="F92" s="94" t="s">
        <v>1543</v>
      </c>
      <c r="G92" s="95" t="s">
        <v>204</v>
      </c>
      <c r="H92" s="94">
        <v>105535549</v>
      </c>
      <c r="I92" s="101">
        <f t="shared" si="4"/>
        <v>45305.563888888886</v>
      </c>
      <c r="J92" s="102">
        <f t="shared" si="5"/>
        <v>1</v>
      </c>
      <c r="K92" s="103">
        <f t="shared" si="6"/>
        <v>14</v>
      </c>
      <c r="L92" s="83">
        <f t="shared" si="7"/>
        <v>13</v>
      </c>
    </row>
    <row r="93" spans="1:12" x14ac:dyDescent="0.25">
      <c r="A93" s="105">
        <v>45305.435416666667</v>
      </c>
      <c r="B93" s="107" t="s">
        <v>1554</v>
      </c>
      <c r="C93" s="99" t="s">
        <v>1564</v>
      </c>
      <c r="D93" s="99" t="s">
        <v>1565</v>
      </c>
      <c r="E93" s="93">
        <v>64</v>
      </c>
      <c r="F93" s="94" t="s">
        <v>1543</v>
      </c>
      <c r="G93" s="95" t="s">
        <v>206</v>
      </c>
      <c r="H93" s="94">
        <v>102838785</v>
      </c>
      <c r="I93" s="101">
        <f t="shared" si="4"/>
        <v>45305.435416666667</v>
      </c>
      <c r="J93" s="102">
        <f t="shared" si="5"/>
        <v>1</v>
      </c>
      <c r="K93" s="103">
        <f t="shared" si="6"/>
        <v>14</v>
      </c>
      <c r="L93" s="83">
        <f t="shared" si="7"/>
        <v>10</v>
      </c>
    </row>
    <row r="94" spans="1:12" x14ac:dyDescent="0.25">
      <c r="A94" s="105">
        <v>45305.689583333333</v>
      </c>
      <c r="B94" s="107" t="s">
        <v>1561</v>
      </c>
      <c r="C94" s="99" t="s">
        <v>1566</v>
      </c>
      <c r="D94" s="99" t="s">
        <v>1567</v>
      </c>
      <c r="E94" s="93">
        <v>181</v>
      </c>
      <c r="F94" s="94" t="s">
        <v>1543</v>
      </c>
      <c r="G94" s="95" t="s">
        <v>208</v>
      </c>
      <c r="H94" s="94">
        <v>104759099</v>
      </c>
      <c r="I94" s="101">
        <f t="shared" si="4"/>
        <v>45305.689583333333</v>
      </c>
      <c r="J94" s="102">
        <f t="shared" si="5"/>
        <v>1</v>
      </c>
      <c r="K94" s="103">
        <f t="shared" si="6"/>
        <v>14</v>
      </c>
      <c r="L94" s="83">
        <f t="shared" si="7"/>
        <v>16</v>
      </c>
    </row>
    <row r="95" spans="1:12" x14ac:dyDescent="0.25">
      <c r="A95" s="105">
        <v>45305.496527777781</v>
      </c>
      <c r="B95" s="107" t="s">
        <v>1568</v>
      </c>
      <c r="C95" s="99" t="s">
        <v>1569</v>
      </c>
      <c r="D95" s="99" t="s">
        <v>1570</v>
      </c>
      <c r="E95" s="93">
        <v>80.73</v>
      </c>
      <c r="F95" s="94" t="s">
        <v>1543</v>
      </c>
      <c r="G95" s="95" t="s">
        <v>210</v>
      </c>
      <c r="H95" s="94">
        <v>103208616</v>
      </c>
      <c r="I95" s="101">
        <f t="shared" si="4"/>
        <v>45305.496527777781</v>
      </c>
      <c r="J95" s="102">
        <f t="shared" si="5"/>
        <v>1</v>
      </c>
      <c r="K95" s="103">
        <f t="shared" si="6"/>
        <v>14</v>
      </c>
      <c r="L95" s="83">
        <f t="shared" si="7"/>
        <v>11</v>
      </c>
    </row>
    <row r="96" spans="1:12" x14ac:dyDescent="0.25">
      <c r="A96" s="105">
        <v>45305.51458333333</v>
      </c>
      <c r="B96" s="107" t="s">
        <v>1575</v>
      </c>
      <c r="C96" s="99" t="s">
        <v>1571</v>
      </c>
      <c r="D96" s="99" t="s">
        <v>1572</v>
      </c>
      <c r="E96" s="93">
        <v>202.65</v>
      </c>
      <c r="F96" s="94" t="s">
        <v>1543</v>
      </c>
      <c r="G96" s="95" t="s">
        <v>212</v>
      </c>
      <c r="H96" s="94">
        <v>102204521</v>
      </c>
      <c r="I96" s="101">
        <f t="shared" si="4"/>
        <v>45305.51458333333</v>
      </c>
      <c r="J96" s="102">
        <f t="shared" si="5"/>
        <v>1</v>
      </c>
      <c r="K96" s="103">
        <f t="shared" si="6"/>
        <v>14</v>
      </c>
      <c r="L96" s="83">
        <f t="shared" si="7"/>
        <v>12</v>
      </c>
    </row>
    <row r="97" spans="1:12" x14ac:dyDescent="0.25">
      <c r="A97" s="105">
        <v>45305.652777777781</v>
      </c>
      <c r="B97" s="107" t="s">
        <v>1582</v>
      </c>
      <c r="C97" s="99" t="s">
        <v>1573</v>
      </c>
      <c r="D97" s="99" t="s">
        <v>1574</v>
      </c>
      <c r="E97" s="93">
        <v>107</v>
      </c>
      <c r="F97" s="94" t="s">
        <v>1543</v>
      </c>
      <c r="G97" s="95" t="s">
        <v>214</v>
      </c>
      <c r="H97" s="94">
        <v>104986289</v>
      </c>
      <c r="I97" s="101">
        <f t="shared" si="4"/>
        <v>45305.652777777781</v>
      </c>
      <c r="J97" s="102">
        <f t="shared" si="5"/>
        <v>1</v>
      </c>
      <c r="K97" s="103">
        <f t="shared" si="6"/>
        <v>14</v>
      </c>
      <c r="L97" s="83">
        <f t="shared" si="7"/>
        <v>15</v>
      </c>
    </row>
    <row r="98" spans="1:12" x14ac:dyDescent="0.25">
      <c r="A98" s="105">
        <v>45305.602777777778</v>
      </c>
      <c r="B98" s="107" t="s">
        <v>1586</v>
      </c>
      <c r="C98" s="99" t="s">
        <v>1576</v>
      </c>
      <c r="D98" s="99" t="s">
        <v>1577</v>
      </c>
      <c r="E98" s="93">
        <v>168.99</v>
      </c>
      <c r="F98" s="94" t="s">
        <v>1543</v>
      </c>
      <c r="G98" s="95" t="s">
        <v>216</v>
      </c>
      <c r="H98" s="94">
        <v>102616656</v>
      </c>
      <c r="I98" s="101">
        <f t="shared" si="4"/>
        <v>45305.602777777778</v>
      </c>
      <c r="J98" s="102">
        <f t="shared" si="5"/>
        <v>1</v>
      </c>
      <c r="K98" s="103">
        <f t="shared" si="6"/>
        <v>14</v>
      </c>
      <c r="L98" s="83">
        <f t="shared" si="7"/>
        <v>14</v>
      </c>
    </row>
    <row r="99" spans="1:12" x14ac:dyDescent="0.25">
      <c r="A99" s="105">
        <v>45305.5</v>
      </c>
      <c r="B99" s="107" t="s">
        <v>1589</v>
      </c>
      <c r="C99" s="99" t="s">
        <v>1578</v>
      </c>
      <c r="D99" s="99" t="s">
        <v>1579</v>
      </c>
      <c r="E99" s="93">
        <v>54.39</v>
      </c>
      <c r="F99" s="94" t="s">
        <v>1543</v>
      </c>
      <c r="G99" s="95" t="s">
        <v>218</v>
      </c>
      <c r="H99" s="94">
        <v>105646104</v>
      </c>
      <c r="I99" s="101">
        <f t="shared" si="4"/>
        <v>45305.5</v>
      </c>
      <c r="J99" s="102">
        <f t="shared" si="5"/>
        <v>1</v>
      </c>
      <c r="K99" s="103">
        <f t="shared" si="6"/>
        <v>14</v>
      </c>
      <c r="L99" s="83">
        <f t="shared" si="7"/>
        <v>12</v>
      </c>
    </row>
    <row r="100" spans="1:12" x14ac:dyDescent="0.25">
      <c r="A100" s="105">
        <v>45305.428472222222</v>
      </c>
      <c r="B100" s="107" t="s">
        <v>1590</v>
      </c>
      <c r="C100" s="99" t="s">
        <v>1580</v>
      </c>
      <c r="D100" s="99" t="s">
        <v>1581</v>
      </c>
      <c r="E100" s="93">
        <v>65</v>
      </c>
      <c r="F100" s="94" t="s">
        <v>1543</v>
      </c>
      <c r="G100" s="95" t="s">
        <v>220</v>
      </c>
      <c r="H100" s="94">
        <v>104475217</v>
      </c>
      <c r="I100" s="101">
        <f t="shared" si="4"/>
        <v>45305.428472222222</v>
      </c>
      <c r="J100" s="102">
        <f t="shared" si="5"/>
        <v>1</v>
      </c>
      <c r="K100" s="103">
        <f t="shared" si="6"/>
        <v>14</v>
      </c>
      <c r="L100" s="83">
        <f t="shared" si="7"/>
        <v>10</v>
      </c>
    </row>
    <row r="101" spans="1:12" x14ac:dyDescent="0.25">
      <c r="A101" s="105">
        <v>45305.731944444444</v>
      </c>
      <c r="B101" s="107" t="s">
        <v>1591</v>
      </c>
      <c r="C101" s="99" t="s">
        <v>1548</v>
      </c>
      <c r="D101" s="99" t="s">
        <v>1549</v>
      </c>
      <c r="E101" s="93">
        <v>50</v>
      </c>
      <c r="F101" s="94" t="s">
        <v>1544</v>
      </c>
      <c r="G101" s="95" t="s">
        <v>222</v>
      </c>
      <c r="H101" s="94">
        <v>105048052</v>
      </c>
      <c r="I101" s="101">
        <f t="shared" si="4"/>
        <v>45305.731944444444</v>
      </c>
      <c r="J101" s="102">
        <f t="shared" si="5"/>
        <v>1</v>
      </c>
      <c r="K101" s="103">
        <f t="shared" si="6"/>
        <v>14</v>
      </c>
      <c r="L101" s="83">
        <f t="shared" si="7"/>
        <v>17</v>
      </c>
    </row>
    <row r="102" spans="1:12" x14ac:dyDescent="0.25">
      <c r="A102" s="105">
        <v>45305.430555555555</v>
      </c>
      <c r="B102" s="107" t="s">
        <v>1592</v>
      </c>
      <c r="C102" s="99" t="s">
        <v>1583</v>
      </c>
      <c r="D102" s="99" t="s">
        <v>1574</v>
      </c>
      <c r="E102" s="93">
        <v>59.62</v>
      </c>
      <c r="F102" s="94" t="s">
        <v>1543</v>
      </c>
      <c r="G102" s="95" t="s">
        <v>224</v>
      </c>
      <c r="H102" s="94">
        <v>104390430</v>
      </c>
      <c r="I102" s="101">
        <f t="shared" si="4"/>
        <v>45305.430555555555</v>
      </c>
      <c r="J102" s="102">
        <f t="shared" si="5"/>
        <v>1</v>
      </c>
      <c r="K102" s="103">
        <f t="shared" si="6"/>
        <v>14</v>
      </c>
      <c r="L102" s="83">
        <f t="shared" si="7"/>
        <v>10</v>
      </c>
    </row>
    <row r="103" spans="1:12" x14ac:dyDescent="0.25">
      <c r="A103" s="105">
        <v>45305.557638888888</v>
      </c>
      <c r="B103" s="107" t="s">
        <v>1593</v>
      </c>
      <c r="C103" s="99" t="s">
        <v>1584</v>
      </c>
      <c r="D103" s="99" t="s">
        <v>1585</v>
      </c>
      <c r="E103" s="93">
        <v>33.97</v>
      </c>
      <c r="F103" s="94" t="s">
        <v>1543</v>
      </c>
      <c r="G103" s="95" t="s">
        <v>226</v>
      </c>
      <c r="H103" s="94">
        <v>101694910</v>
      </c>
      <c r="I103" s="101">
        <f t="shared" si="4"/>
        <v>45305.557638888888</v>
      </c>
      <c r="J103" s="102">
        <f t="shared" si="5"/>
        <v>1</v>
      </c>
      <c r="K103" s="103">
        <f t="shared" si="6"/>
        <v>14</v>
      </c>
      <c r="L103" s="83">
        <f t="shared" si="7"/>
        <v>13</v>
      </c>
    </row>
    <row r="104" spans="1:12" x14ac:dyDescent="0.25">
      <c r="A104" s="105">
        <v>45279.665277777778</v>
      </c>
      <c r="B104" s="107" t="s">
        <v>1594</v>
      </c>
      <c r="C104" s="99" t="s">
        <v>1557</v>
      </c>
      <c r="D104" s="99" t="s">
        <v>1558</v>
      </c>
      <c r="E104" s="93">
        <v>50</v>
      </c>
      <c r="F104" s="94" t="s">
        <v>1543</v>
      </c>
      <c r="G104" s="95" t="s">
        <v>228</v>
      </c>
      <c r="H104" s="94">
        <v>105517962</v>
      </c>
      <c r="I104" s="101">
        <f t="shared" si="4"/>
        <v>45279.665277777778</v>
      </c>
      <c r="J104" s="102">
        <f t="shared" si="5"/>
        <v>12</v>
      </c>
      <c r="K104" s="103">
        <f t="shared" si="6"/>
        <v>19</v>
      </c>
      <c r="L104" s="83">
        <f t="shared" si="7"/>
        <v>15</v>
      </c>
    </row>
    <row r="105" spans="1:12" x14ac:dyDescent="0.25">
      <c r="A105" s="105">
        <v>45279.599305555559</v>
      </c>
      <c r="B105" s="107" t="s">
        <v>1595</v>
      </c>
      <c r="C105" s="99" t="s">
        <v>1587</v>
      </c>
      <c r="D105" s="99" t="s">
        <v>1588</v>
      </c>
      <c r="E105" s="93">
        <v>73</v>
      </c>
      <c r="F105" s="94" t="s">
        <v>1543</v>
      </c>
      <c r="G105" s="95" t="s">
        <v>230</v>
      </c>
      <c r="H105" s="94">
        <v>101348937</v>
      </c>
      <c r="I105" s="101">
        <f t="shared" si="4"/>
        <v>45279.599305555559</v>
      </c>
      <c r="J105" s="102">
        <f t="shared" si="5"/>
        <v>12</v>
      </c>
      <c r="K105" s="103">
        <f t="shared" si="6"/>
        <v>19</v>
      </c>
      <c r="L105" s="83">
        <f t="shared" si="7"/>
        <v>14</v>
      </c>
    </row>
    <row r="106" spans="1:12" x14ac:dyDescent="0.25">
      <c r="A106" s="105">
        <v>45279.456944444442</v>
      </c>
      <c r="B106" s="107" t="s">
        <v>1597</v>
      </c>
      <c r="C106" s="99" t="s">
        <v>1564</v>
      </c>
      <c r="D106" s="99" t="s">
        <v>1565</v>
      </c>
      <c r="E106" s="93">
        <v>358</v>
      </c>
      <c r="F106" s="94" t="s">
        <v>1544</v>
      </c>
      <c r="G106" s="95" t="s">
        <v>232</v>
      </c>
      <c r="H106" s="94">
        <v>105057101</v>
      </c>
      <c r="I106" s="101">
        <f t="shared" si="4"/>
        <v>45279.456944444442</v>
      </c>
      <c r="J106" s="102">
        <f t="shared" si="5"/>
        <v>12</v>
      </c>
      <c r="K106" s="103">
        <f t="shared" si="6"/>
        <v>19</v>
      </c>
      <c r="L106" s="83">
        <f t="shared" si="7"/>
        <v>10</v>
      </c>
    </row>
    <row r="107" spans="1:12" x14ac:dyDescent="0.25">
      <c r="A107" s="105">
        <v>45279.488888888889</v>
      </c>
      <c r="B107" s="107" t="s">
        <v>1547</v>
      </c>
      <c r="C107" s="99" t="s">
        <v>1548</v>
      </c>
      <c r="D107" s="99" t="s">
        <v>1549</v>
      </c>
      <c r="E107" s="93">
        <v>20</v>
      </c>
      <c r="F107" s="94" t="s">
        <v>1544</v>
      </c>
      <c r="G107" s="95" t="s">
        <v>234</v>
      </c>
      <c r="H107" s="94">
        <v>104867694</v>
      </c>
      <c r="I107" s="101">
        <f t="shared" si="4"/>
        <v>45279.488888888889</v>
      </c>
      <c r="J107" s="102">
        <f t="shared" si="5"/>
        <v>12</v>
      </c>
      <c r="K107" s="103">
        <f t="shared" si="6"/>
        <v>19</v>
      </c>
      <c r="L107" s="83">
        <f t="shared" si="7"/>
        <v>11</v>
      </c>
    </row>
    <row r="108" spans="1:12" x14ac:dyDescent="0.25">
      <c r="A108" s="105">
        <v>45279.424305555556</v>
      </c>
      <c r="B108" s="107" t="s">
        <v>1554</v>
      </c>
      <c r="C108" s="99" t="s">
        <v>1550</v>
      </c>
      <c r="D108" s="99" t="s">
        <v>1551</v>
      </c>
      <c r="E108" s="93">
        <v>133</v>
      </c>
      <c r="F108" s="94" t="s">
        <v>1543</v>
      </c>
      <c r="G108" s="95" t="s">
        <v>236</v>
      </c>
      <c r="H108" s="94">
        <v>102584308</v>
      </c>
      <c r="I108" s="101">
        <f t="shared" si="4"/>
        <v>45279.424305555556</v>
      </c>
      <c r="J108" s="102">
        <f t="shared" si="5"/>
        <v>12</v>
      </c>
      <c r="K108" s="103">
        <f t="shared" si="6"/>
        <v>19</v>
      </c>
      <c r="L108" s="83">
        <f t="shared" si="7"/>
        <v>10</v>
      </c>
    </row>
    <row r="109" spans="1:12" x14ac:dyDescent="0.25">
      <c r="A109" s="105">
        <v>45279.688194444447</v>
      </c>
      <c r="B109" s="107" t="s">
        <v>1561</v>
      </c>
      <c r="C109" s="99" t="s">
        <v>1562</v>
      </c>
      <c r="D109" s="99" t="s">
        <v>1563</v>
      </c>
      <c r="E109" s="93">
        <v>149.65</v>
      </c>
      <c r="F109" s="94" t="s">
        <v>1543</v>
      </c>
      <c r="G109" s="95" t="s">
        <v>241</v>
      </c>
      <c r="H109" s="94">
        <v>103601415</v>
      </c>
      <c r="I109" s="101">
        <f t="shared" si="4"/>
        <v>45279.688194444447</v>
      </c>
      <c r="J109" s="102">
        <f t="shared" si="5"/>
        <v>12</v>
      </c>
      <c r="K109" s="103">
        <f t="shared" si="6"/>
        <v>19</v>
      </c>
      <c r="L109" s="83">
        <f t="shared" si="7"/>
        <v>16</v>
      </c>
    </row>
    <row r="110" spans="1:12" x14ac:dyDescent="0.25">
      <c r="A110" s="105">
        <v>45279.537499999999</v>
      </c>
      <c r="B110" s="107" t="s">
        <v>1568</v>
      </c>
      <c r="C110" s="99" t="s">
        <v>1552</v>
      </c>
      <c r="D110" s="99" t="s">
        <v>1553</v>
      </c>
      <c r="E110" s="93">
        <v>64.63</v>
      </c>
      <c r="F110" s="94" t="s">
        <v>1543</v>
      </c>
      <c r="G110" s="95" t="s">
        <v>243</v>
      </c>
      <c r="H110" s="94">
        <v>104038492</v>
      </c>
      <c r="I110" s="101">
        <f t="shared" si="4"/>
        <v>45279.537499999999</v>
      </c>
      <c r="J110" s="102">
        <f t="shared" si="5"/>
        <v>12</v>
      </c>
      <c r="K110" s="103">
        <f t="shared" si="6"/>
        <v>19</v>
      </c>
      <c r="L110" s="83">
        <f t="shared" si="7"/>
        <v>12</v>
      </c>
    </row>
    <row r="111" spans="1:12" x14ac:dyDescent="0.25">
      <c r="A111" s="105">
        <v>45279.458333333336</v>
      </c>
      <c r="B111" s="107" t="s">
        <v>1575</v>
      </c>
      <c r="C111" s="99" t="s">
        <v>1555</v>
      </c>
      <c r="D111" s="99" t="s">
        <v>1556</v>
      </c>
      <c r="E111" s="93">
        <v>200</v>
      </c>
      <c r="F111" s="94" t="s">
        <v>1543</v>
      </c>
      <c r="G111" s="95" t="s">
        <v>245</v>
      </c>
      <c r="H111" s="94">
        <v>104710752</v>
      </c>
      <c r="I111" s="101">
        <f t="shared" si="4"/>
        <v>45279.458333333336</v>
      </c>
      <c r="J111" s="102">
        <f t="shared" si="5"/>
        <v>12</v>
      </c>
      <c r="K111" s="103">
        <f t="shared" si="6"/>
        <v>19</v>
      </c>
      <c r="L111" s="83">
        <f t="shared" si="7"/>
        <v>11</v>
      </c>
    </row>
    <row r="112" spans="1:12" x14ac:dyDescent="0.25">
      <c r="A112" s="105">
        <v>45279.49722222222</v>
      </c>
      <c r="B112" s="107" t="s">
        <v>1582</v>
      </c>
      <c r="C112" s="99" t="s">
        <v>1559</v>
      </c>
      <c r="D112" s="99" t="s">
        <v>1560</v>
      </c>
      <c r="E112" s="93">
        <v>37.28</v>
      </c>
      <c r="F112" s="94" t="s">
        <v>1543</v>
      </c>
      <c r="G112" s="95" t="s">
        <v>247</v>
      </c>
      <c r="H112" s="94">
        <v>105703662</v>
      </c>
      <c r="I112" s="101">
        <f t="shared" si="4"/>
        <v>45279.49722222222</v>
      </c>
      <c r="J112" s="102">
        <f t="shared" si="5"/>
        <v>12</v>
      </c>
      <c r="K112" s="103">
        <f t="shared" si="6"/>
        <v>19</v>
      </c>
      <c r="L112" s="83">
        <f t="shared" si="7"/>
        <v>11</v>
      </c>
    </row>
    <row r="113" spans="1:12" x14ac:dyDescent="0.25">
      <c r="A113" s="105">
        <v>45279.597916666666</v>
      </c>
      <c r="B113" s="107" t="s">
        <v>1586</v>
      </c>
      <c r="C113" s="99" t="s">
        <v>1548</v>
      </c>
      <c r="D113" s="99" t="s">
        <v>1549</v>
      </c>
      <c r="E113" s="93">
        <v>5</v>
      </c>
      <c r="F113" s="94" t="s">
        <v>1544</v>
      </c>
      <c r="G113" s="95" t="s">
        <v>249</v>
      </c>
      <c r="H113" s="94">
        <v>105057101</v>
      </c>
      <c r="I113" s="101">
        <f t="shared" si="4"/>
        <v>45279.597916666666</v>
      </c>
      <c r="J113" s="102">
        <f t="shared" si="5"/>
        <v>12</v>
      </c>
      <c r="K113" s="103">
        <f t="shared" si="6"/>
        <v>19</v>
      </c>
      <c r="L113" s="83">
        <f t="shared" si="7"/>
        <v>14</v>
      </c>
    </row>
    <row r="114" spans="1:12" x14ac:dyDescent="0.25">
      <c r="A114" s="105">
        <v>45279.649305555555</v>
      </c>
      <c r="B114" s="107" t="s">
        <v>1589</v>
      </c>
      <c r="C114" s="99" t="s">
        <v>1566</v>
      </c>
      <c r="D114" s="99" t="s">
        <v>1567</v>
      </c>
      <c r="E114" s="93">
        <v>100</v>
      </c>
      <c r="F114" s="94" t="s">
        <v>1544</v>
      </c>
      <c r="G114" s="95" t="s">
        <v>251</v>
      </c>
      <c r="H114" s="94">
        <v>104433964</v>
      </c>
      <c r="I114" s="101">
        <f t="shared" si="4"/>
        <v>45279.649305555555</v>
      </c>
      <c r="J114" s="102">
        <f t="shared" si="5"/>
        <v>12</v>
      </c>
      <c r="K114" s="103">
        <f t="shared" si="6"/>
        <v>19</v>
      </c>
      <c r="L114" s="83">
        <f t="shared" si="7"/>
        <v>15</v>
      </c>
    </row>
    <row r="115" spans="1:12" x14ac:dyDescent="0.25">
      <c r="A115" s="105">
        <v>45279.713888888888</v>
      </c>
      <c r="B115" s="107" t="s">
        <v>1590</v>
      </c>
      <c r="C115" s="99" t="s">
        <v>1564</v>
      </c>
      <c r="D115" s="99" t="s">
        <v>1565</v>
      </c>
      <c r="E115" s="93">
        <v>130.34</v>
      </c>
      <c r="F115" s="94" t="s">
        <v>1543</v>
      </c>
      <c r="G115" s="95" t="s">
        <v>253</v>
      </c>
      <c r="H115" s="94">
        <v>104325259</v>
      </c>
      <c r="I115" s="101">
        <f t="shared" si="4"/>
        <v>45279.713888888888</v>
      </c>
      <c r="J115" s="102">
        <f t="shared" si="5"/>
        <v>12</v>
      </c>
      <c r="K115" s="103">
        <f t="shared" si="6"/>
        <v>19</v>
      </c>
      <c r="L115" s="83">
        <f t="shared" si="7"/>
        <v>17</v>
      </c>
    </row>
    <row r="116" spans="1:12" x14ac:dyDescent="0.25">
      <c r="A116" s="105">
        <v>45279.74722222222</v>
      </c>
      <c r="B116" s="107" t="s">
        <v>1591</v>
      </c>
      <c r="C116" s="99" t="s">
        <v>1548</v>
      </c>
      <c r="D116" s="99" t="s">
        <v>1549</v>
      </c>
      <c r="E116" s="93">
        <v>91.83</v>
      </c>
      <c r="F116" s="94" t="s">
        <v>1543</v>
      </c>
      <c r="G116" s="95" t="s">
        <v>255</v>
      </c>
      <c r="H116" s="94">
        <v>105548678</v>
      </c>
      <c r="I116" s="101">
        <f t="shared" si="4"/>
        <v>45279.74722222222</v>
      </c>
      <c r="J116" s="102">
        <f t="shared" si="5"/>
        <v>12</v>
      </c>
      <c r="K116" s="103">
        <f t="shared" si="6"/>
        <v>19</v>
      </c>
      <c r="L116" s="83">
        <f t="shared" si="7"/>
        <v>17</v>
      </c>
    </row>
    <row r="117" spans="1:12" x14ac:dyDescent="0.25">
      <c r="A117" s="105">
        <v>45279.645138888889</v>
      </c>
      <c r="B117" s="107" t="s">
        <v>1592</v>
      </c>
      <c r="C117" s="99" t="s">
        <v>1550</v>
      </c>
      <c r="D117" s="99" t="s">
        <v>1551</v>
      </c>
      <c r="E117" s="93">
        <v>16.010000000000002</v>
      </c>
      <c r="F117" s="94" t="s">
        <v>1544</v>
      </c>
      <c r="G117" s="95" t="s">
        <v>257</v>
      </c>
      <c r="H117" s="94">
        <v>101507620</v>
      </c>
      <c r="I117" s="101">
        <f t="shared" si="4"/>
        <v>45279.645138888889</v>
      </c>
      <c r="J117" s="102">
        <f t="shared" si="5"/>
        <v>12</v>
      </c>
      <c r="K117" s="103">
        <f t="shared" si="6"/>
        <v>19</v>
      </c>
      <c r="L117" s="83">
        <f t="shared" si="7"/>
        <v>15</v>
      </c>
    </row>
    <row r="118" spans="1:12" x14ac:dyDescent="0.25">
      <c r="A118" s="105">
        <v>45277.631249999999</v>
      </c>
      <c r="B118" s="107" t="s">
        <v>1593</v>
      </c>
      <c r="C118" s="99" t="s">
        <v>1557</v>
      </c>
      <c r="D118" s="99" t="s">
        <v>1558</v>
      </c>
      <c r="E118" s="93">
        <v>87</v>
      </c>
      <c r="F118" s="94" t="s">
        <v>1543</v>
      </c>
      <c r="G118" s="95" t="s">
        <v>259</v>
      </c>
      <c r="H118" s="94">
        <v>103864203</v>
      </c>
      <c r="I118" s="101">
        <f t="shared" si="4"/>
        <v>45277.631249999999</v>
      </c>
      <c r="J118" s="102">
        <f t="shared" si="5"/>
        <v>12</v>
      </c>
      <c r="K118" s="103">
        <f t="shared" si="6"/>
        <v>17</v>
      </c>
      <c r="L118" s="83">
        <f t="shared" si="7"/>
        <v>15</v>
      </c>
    </row>
    <row r="119" spans="1:12" x14ac:dyDescent="0.25">
      <c r="A119" s="105">
        <v>45277.745833333334</v>
      </c>
      <c r="B119" s="107" t="s">
        <v>1594</v>
      </c>
      <c r="C119" s="99" t="s">
        <v>1562</v>
      </c>
      <c r="D119" s="99" t="s">
        <v>1563</v>
      </c>
      <c r="E119" s="93">
        <v>253</v>
      </c>
      <c r="F119" s="94" t="s">
        <v>1543</v>
      </c>
      <c r="G119" s="95" t="s">
        <v>261</v>
      </c>
      <c r="H119" s="94">
        <v>104427735</v>
      </c>
      <c r="I119" s="101">
        <f t="shared" si="4"/>
        <v>45277.745833333334</v>
      </c>
      <c r="J119" s="102">
        <f t="shared" si="5"/>
        <v>12</v>
      </c>
      <c r="K119" s="103">
        <f t="shared" si="6"/>
        <v>17</v>
      </c>
      <c r="L119" s="83">
        <f t="shared" si="7"/>
        <v>17</v>
      </c>
    </row>
    <row r="120" spans="1:12" x14ac:dyDescent="0.25">
      <c r="A120" s="105">
        <v>45277.438194444447</v>
      </c>
      <c r="B120" s="107" t="s">
        <v>1595</v>
      </c>
      <c r="C120" s="99" t="s">
        <v>1576</v>
      </c>
      <c r="D120" s="99" t="s">
        <v>1577</v>
      </c>
      <c r="E120" s="93">
        <v>12.71</v>
      </c>
      <c r="F120" s="94" t="s">
        <v>1544</v>
      </c>
      <c r="G120" s="95" t="s">
        <v>263</v>
      </c>
      <c r="H120" s="94">
        <v>102432103</v>
      </c>
      <c r="I120" s="101">
        <f t="shared" si="4"/>
        <v>45277.438194444447</v>
      </c>
      <c r="J120" s="102">
        <f t="shared" si="5"/>
        <v>12</v>
      </c>
      <c r="K120" s="103">
        <f t="shared" si="6"/>
        <v>17</v>
      </c>
      <c r="L120" s="83">
        <f t="shared" si="7"/>
        <v>10</v>
      </c>
    </row>
    <row r="121" spans="1:12" x14ac:dyDescent="0.25">
      <c r="A121" s="105">
        <v>45277.539583333331</v>
      </c>
      <c r="B121" s="107" t="s">
        <v>1597</v>
      </c>
      <c r="C121" s="99" t="s">
        <v>1569</v>
      </c>
      <c r="D121" s="99" t="s">
        <v>1570</v>
      </c>
      <c r="E121" s="93">
        <v>40</v>
      </c>
      <c r="F121" s="94" t="s">
        <v>1544</v>
      </c>
      <c r="G121" s="95" t="s">
        <v>265</v>
      </c>
      <c r="H121" s="94">
        <v>104038492</v>
      </c>
      <c r="I121" s="101">
        <f t="shared" si="4"/>
        <v>45277.539583333331</v>
      </c>
      <c r="J121" s="102">
        <f t="shared" si="5"/>
        <v>12</v>
      </c>
      <c r="K121" s="103">
        <f t="shared" si="6"/>
        <v>17</v>
      </c>
      <c r="L121" s="83">
        <f t="shared" si="7"/>
        <v>12</v>
      </c>
    </row>
    <row r="122" spans="1:12" x14ac:dyDescent="0.25">
      <c r="A122" s="105">
        <v>45277.4375</v>
      </c>
      <c r="B122" s="107" t="s">
        <v>1547</v>
      </c>
      <c r="C122" s="99" t="s">
        <v>1548</v>
      </c>
      <c r="D122" s="99" t="s">
        <v>1549</v>
      </c>
      <c r="E122" s="93">
        <v>88.57</v>
      </c>
      <c r="F122" s="94" t="s">
        <v>1543</v>
      </c>
      <c r="G122" s="95" t="s">
        <v>268</v>
      </c>
      <c r="H122" s="94">
        <v>105054585</v>
      </c>
      <c r="I122" s="101">
        <f t="shared" si="4"/>
        <v>45277.4375</v>
      </c>
      <c r="J122" s="102">
        <f t="shared" si="5"/>
        <v>12</v>
      </c>
      <c r="K122" s="103">
        <f t="shared" si="6"/>
        <v>17</v>
      </c>
      <c r="L122" s="83">
        <f t="shared" si="7"/>
        <v>10</v>
      </c>
    </row>
    <row r="123" spans="1:12" x14ac:dyDescent="0.25">
      <c r="A123" s="105">
        <v>45277.595138888886</v>
      </c>
      <c r="B123" s="107" t="s">
        <v>1554</v>
      </c>
      <c r="C123" s="99" t="s">
        <v>1559</v>
      </c>
      <c r="D123" s="99" t="s">
        <v>1560</v>
      </c>
      <c r="E123" s="93">
        <v>100</v>
      </c>
      <c r="F123" s="94" t="s">
        <v>1543</v>
      </c>
      <c r="G123" s="95" t="s">
        <v>270</v>
      </c>
      <c r="H123" s="94">
        <v>103639171</v>
      </c>
      <c r="I123" s="101">
        <f t="shared" si="4"/>
        <v>45277.595138888886</v>
      </c>
      <c r="J123" s="102">
        <f t="shared" si="5"/>
        <v>12</v>
      </c>
      <c r="K123" s="103">
        <f t="shared" si="6"/>
        <v>17</v>
      </c>
      <c r="L123" s="83">
        <f t="shared" si="7"/>
        <v>14</v>
      </c>
    </row>
    <row r="124" spans="1:12" x14ac:dyDescent="0.25">
      <c r="A124" s="105">
        <v>45277.618750000001</v>
      </c>
      <c r="B124" s="107" t="s">
        <v>1561</v>
      </c>
      <c r="C124" s="99" t="s">
        <v>1571</v>
      </c>
      <c r="D124" s="99" t="s">
        <v>1572</v>
      </c>
      <c r="E124" s="93">
        <v>50</v>
      </c>
      <c r="F124" s="94" t="s">
        <v>1543</v>
      </c>
      <c r="G124" s="95" t="s">
        <v>272</v>
      </c>
      <c r="H124" s="94">
        <v>104253015</v>
      </c>
      <c r="I124" s="101">
        <f t="shared" si="4"/>
        <v>45277.618750000001</v>
      </c>
      <c r="J124" s="102">
        <f t="shared" si="5"/>
        <v>12</v>
      </c>
      <c r="K124" s="103">
        <f t="shared" si="6"/>
        <v>17</v>
      </c>
      <c r="L124" s="83">
        <f t="shared" si="7"/>
        <v>14</v>
      </c>
    </row>
    <row r="125" spans="1:12" x14ac:dyDescent="0.25">
      <c r="A125" s="105">
        <v>45277.715277777781</v>
      </c>
      <c r="B125" s="107" t="s">
        <v>1568</v>
      </c>
      <c r="C125" s="99" t="s">
        <v>1550</v>
      </c>
      <c r="D125" s="99" t="s">
        <v>1551</v>
      </c>
      <c r="E125" s="93">
        <v>46.43</v>
      </c>
      <c r="F125" s="94" t="s">
        <v>1544</v>
      </c>
      <c r="G125" s="95" t="s">
        <v>274</v>
      </c>
      <c r="H125" s="94">
        <v>104625452</v>
      </c>
      <c r="I125" s="101">
        <f t="shared" si="4"/>
        <v>45277.715277777781</v>
      </c>
      <c r="J125" s="102">
        <f t="shared" si="5"/>
        <v>12</v>
      </c>
      <c r="K125" s="103">
        <f t="shared" si="6"/>
        <v>17</v>
      </c>
      <c r="L125" s="83">
        <f t="shared" si="7"/>
        <v>17</v>
      </c>
    </row>
    <row r="126" spans="1:12" x14ac:dyDescent="0.25">
      <c r="A126" s="105">
        <v>45277.745138888888</v>
      </c>
      <c r="B126" s="107" t="s">
        <v>1575</v>
      </c>
      <c r="C126" s="99" t="s">
        <v>1557</v>
      </c>
      <c r="D126" s="99" t="s">
        <v>1558</v>
      </c>
      <c r="E126" s="93">
        <v>150</v>
      </c>
      <c r="F126" s="94" t="s">
        <v>1543</v>
      </c>
      <c r="G126" s="95" t="s">
        <v>276</v>
      </c>
      <c r="H126" s="94">
        <v>101612226</v>
      </c>
      <c r="I126" s="101">
        <f t="shared" si="4"/>
        <v>45277.745138888888</v>
      </c>
      <c r="J126" s="102">
        <f t="shared" si="5"/>
        <v>12</v>
      </c>
      <c r="K126" s="103">
        <f t="shared" si="6"/>
        <v>17</v>
      </c>
      <c r="L126" s="83">
        <f t="shared" si="7"/>
        <v>17</v>
      </c>
    </row>
    <row r="127" spans="1:12" x14ac:dyDescent="0.25">
      <c r="A127" s="105">
        <v>45277.654861111114</v>
      </c>
      <c r="B127" s="107" t="s">
        <v>1582</v>
      </c>
      <c r="C127" s="99" t="s">
        <v>1555</v>
      </c>
      <c r="D127" s="99" t="s">
        <v>1556</v>
      </c>
      <c r="E127" s="93">
        <v>120</v>
      </c>
      <c r="F127" s="94" t="s">
        <v>1543</v>
      </c>
      <c r="G127" s="95" t="s">
        <v>278</v>
      </c>
      <c r="H127" s="94">
        <v>102206279</v>
      </c>
      <c r="I127" s="101">
        <f t="shared" si="4"/>
        <v>45277.654861111114</v>
      </c>
      <c r="J127" s="102">
        <f t="shared" si="5"/>
        <v>12</v>
      </c>
      <c r="K127" s="103">
        <f t="shared" si="6"/>
        <v>17</v>
      </c>
      <c r="L127" s="83">
        <f t="shared" si="7"/>
        <v>15</v>
      </c>
    </row>
    <row r="128" spans="1:12" x14ac:dyDescent="0.25">
      <c r="A128" s="105">
        <v>45277.65902777778</v>
      </c>
      <c r="B128" s="107" t="s">
        <v>1586</v>
      </c>
      <c r="C128" s="99" t="s">
        <v>1548</v>
      </c>
      <c r="D128" s="99" t="s">
        <v>1549</v>
      </c>
      <c r="E128" s="93">
        <v>50</v>
      </c>
      <c r="F128" s="94" t="s">
        <v>1544</v>
      </c>
      <c r="G128" s="95" t="s">
        <v>280</v>
      </c>
      <c r="H128" s="94">
        <v>105112222</v>
      </c>
      <c r="I128" s="101">
        <f t="shared" si="4"/>
        <v>45277.65902777778</v>
      </c>
      <c r="J128" s="102">
        <f t="shared" si="5"/>
        <v>12</v>
      </c>
      <c r="K128" s="103">
        <f t="shared" si="6"/>
        <v>17</v>
      </c>
      <c r="L128" s="83">
        <f t="shared" si="7"/>
        <v>15</v>
      </c>
    </row>
    <row r="129" spans="1:12" x14ac:dyDescent="0.25">
      <c r="A129" s="105">
        <v>45277.568749999999</v>
      </c>
      <c r="B129" s="107" t="s">
        <v>1589</v>
      </c>
      <c r="C129" s="99" t="s">
        <v>1550</v>
      </c>
      <c r="D129" s="99" t="s">
        <v>1551</v>
      </c>
      <c r="E129" s="93">
        <v>119</v>
      </c>
      <c r="F129" s="94" t="s">
        <v>1543</v>
      </c>
      <c r="G129" s="95" t="s">
        <v>282</v>
      </c>
      <c r="H129" s="94">
        <v>104066269</v>
      </c>
      <c r="I129" s="101">
        <f t="shared" si="4"/>
        <v>45277.568749999999</v>
      </c>
      <c r="J129" s="102">
        <f t="shared" si="5"/>
        <v>12</v>
      </c>
      <c r="K129" s="103">
        <f t="shared" si="6"/>
        <v>17</v>
      </c>
      <c r="L129" s="83">
        <f t="shared" si="7"/>
        <v>13</v>
      </c>
    </row>
    <row r="130" spans="1:12" x14ac:dyDescent="0.25">
      <c r="A130" s="105">
        <v>45277.693749999999</v>
      </c>
      <c r="B130" s="107" t="s">
        <v>1590</v>
      </c>
      <c r="C130" s="99" t="s">
        <v>1552</v>
      </c>
      <c r="D130" s="99" t="s">
        <v>1553</v>
      </c>
      <c r="E130" s="93">
        <v>172</v>
      </c>
      <c r="F130" s="94" t="s">
        <v>1543</v>
      </c>
      <c r="G130" s="95" t="s">
        <v>284</v>
      </c>
      <c r="H130" s="94">
        <v>104081992</v>
      </c>
      <c r="I130" s="101">
        <f t="shared" si="4"/>
        <v>45277.693749999999</v>
      </c>
      <c r="J130" s="102">
        <f t="shared" si="5"/>
        <v>12</v>
      </c>
      <c r="K130" s="103">
        <f t="shared" si="6"/>
        <v>17</v>
      </c>
      <c r="L130" s="83">
        <f t="shared" si="7"/>
        <v>16</v>
      </c>
    </row>
    <row r="131" spans="1:12" x14ac:dyDescent="0.25">
      <c r="A131" s="105">
        <v>45277.465277777781</v>
      </c>
      <c r="B131" s="107" t="s">
        <v>1591</v>
      </c>
      <c r="C131" s="99" t="s">
        <v>1555</v>
      </c>
      <c r="D131" s="99" t="s">
        <v>1556</v>
      </c>
      <c r="E131" s="93">
        <v>31.92</v>
      </c>
      <c r="F131" s="94" t="s">
        <v>1543</v>
      </c>
      <c r="G131" s="95" t="s">
        <v>287</v>
      </c>
      <c r="H131" s="94">
        <v>104815203</v>
      </c>
      <c r="I131" s="101">
        <f t="shared" ref="I131:I194" si="8">A131</f>
        <v>45277.465277777781</v>
      </c>
      <c r="J131" s="102">
        <f t="shared" ref="J131:J194" si="9">MONTH(A131)</f>
        <v>12</v>
      </c>
      <c r="K131" s="103">
        <f t="shared" ref="K131:K194" si="10">DAY(A131)</f>
        <v>17</v>
      </c>
      <c r="L131" s="83">
        <f t="shared" ref="L131:L194" si="11">HOUR(A131)</f>
        <v>11</v>
      </c>
    </row>
    <row r="132" spans="1:12" x14ac:dyDescent="0.25">
      <c r="A132" s="105">
        <v>45277.504861111112</v>
      </c>
      <c r="B132" s="107" t="s">
        <v>1592</v>
      </c>
      <c r="C132" s="99" t="s">
        <v>1557</v>
      </c>
      <c r="D132" s="99" t="s">
        <v>1558</v>
      </c>
      <c r="E132" s="93">
        <v>164.49</v>
      </c>
      <c r="F132" s="94" t="s">
        <v>1543</v>
      </c>
      <c r="G132" s="95" t="s">
        <v>289</v>
      </c>
      <c r="H132" s="94">
        <v>104919639</v>
      </c>
      <c r="I132" s="101">
        <f t="shared" si="8"/>
        <v>45277.504861111112</v>
      </c>
      <c r="J132" s="102">
        <f t="shared" si="9"/>
        <v>12</v>
      </c>
      <c r="K132" s="103">
        <f t="shared" si="10"/>
        <v>17</v>
      </c>
      <c r="L132" s="83">
        <f t="shared" si="11"/>
        <v>12</v>
      </c>
    </row>
    <row r="133" spans="1:12" x14ac:dyDescent="0.25">
      <c r="A133" s="105">
        <v>45277.47152777778</v>
      </c>
      <c r="B133" s="107" t="s">
        <v>1593</v>
      </c>
      <c r="C133" s="99" t="s">
        <v>1559</v>
      </c>
      <c r="D133" s="99" t="s">
        <v>1560</v>
      </c>
      <c r="E133" s="93">
        <v>109.25</v>
      </c>
      <c r="F133" s="94" t="s">
        <v>1543</v>
      </c>
      <c r="G133" s="95" t="s">
        <v>291</v>
      </c>
      <c r="H133" s="94">
        <v>102366719</v>
      </c>
      <c r="I133" s="101">
        <f t="shared" si="8"/>
        <v>45277.47152777778</v>
      </c>
      <c r="J133" s="102">
        <f t="shared" si="9"/>
        <v>12</v>
      </c>
      <c r="K133" s="103">
        <f t="shared" si="10"/>
        <v>17</v>
      </c>
      <c r="L133" s="83">
        <f t="shared" si="11"/>
        <v>11</v>
      </c>
    </row>
    <row r="134" spans="1:12" x14ac:dyDescent="0.25">
      <c r="A134" s="105">
        <v>45277.783333333333</v>
      </c>
      <c r="B134" s="107" t="s">
        <v>1594</v>
      </c>
      <c r="C134" s="99" t="s">
        <v>1562</v>
      </c>
      <c r="D134" s="99" t="s">
        <v>1563</v>
      </c>
      <c r="E134" s="93">
        <v>214</v>
      </c>
      <c r="F134" s="94" t="s">
        <v>1544</v>
      </c>
      <c r="G134" s="95" t="s">
        <v>293</v>
      </c>
      <c r="H134" s="94">
        <v>105260947</v>
      </c>
      <c r="I134" s="101">
        <f t="shared" si="8"/>
        <v>45277.783333333333</v>
      </c>
      <c r="J134" s="102">
        <f t="shared" si="9"/>
        <v>12</v>
      </c>
      <c r="K134" s="103">
        <f t="shared" si="10"/>
        <v>17</v>
      </c>
      <c r="L134" s="83">
        <f t="shared" si="11"/>
        <v>18</v>
      </c>
    </row>
    <row r="135" spans="1:12" x14ac:dyDescent="0.25">
      <c r="A135" s="105">
        <v>45277.705555555556</v>
      </c>
      <c r="B135" s="107" t="s">
        <v>1595</v>
      </c>
      <c r="C135" s="99" t="s">
        <v>1564</v>
      </c>
      <c r="D135" s="99" t="s">
        <v>1565</v>
      </c>
      <c r="E135" s="93">
        <v>104</v>
      </c>
      <c r="F135" s="94" t="s">
        <v>1543</v>
      </c>
      <c r="G135" s="95" t="s">
        <v>295</v>
      </c>
      <c r="H135" s="94">
        <v>104236236</v>
      </c>
      <c r="I135" s="101">
        <f t="shared" si="8"/>
        <v>45277.705555555556</v>
      </c>
      <c r="J135" s="102">
        <f t="shared" si="9"/>
        <v>12</v>
      </c>
      <c r="K135" s="103">
        <f t="shared" si="10"/>
        <v>17</v>
      </c>
      <c r="L135" s="83">
        <f t="shared" si="11"/>
        <v>16</v>
      </c>
    </row>
    <row r="136" spans="1:12" x14ac:dyDescent="0.25">
      <c r="A136" s="105">
        <v>45277.602083333331</v>
      </c>
      <c r="B136" s="107" t="s">
        <v>1597</v>
      </c>
      <c r="C136" s="99" t="s">
        <v>1566</v>
      </c>
      <c r="D136" s="99" t="s">
        <v>1567</v>
      </c>
      <c r="E136" s="93">
        <v>61</v>
      </c>
      <c r="F136" s="94" t="s">
        <v>1543</v>
      </c>
      <c r="G136" s="95" t="s">
        <v>297</v>
      </c>
      <c r="H136" s="94">
        <v>105022878</v>
      </c>
      <c r="I136" s="101">
        <f t="shared" si="8"/>
        <v>45277.602083333331</v>
      </c>
      <c r="J136" s="102">
        <f t="shared" si="9"/>
        <v>12</v>
      </c>
      <c r="K136" s="103">
        <f t="shared" si="10"/>
        <v>17</v>
      </c>
      <c r="L136" s="83">
        <f t="shared" si="11"/>
        <v>14</v>
      </c>
    </row>
    <row r="137" spans="1:12" x14ac:dyDescent="0.25">
      <c r="A137" s="105">
        <v>45277.713194444441</v>
      </c>
      <c r="B137" s="107" t="s">
        <v>1547</v>
      </c>
      <c r="C137" s="99" t="s">
        <v>1569</v>
      </c>
      <c r="D137" s="99" t="s">
        <v>1570</v>
      </c>
      <c r="E137" s="93">
        <v>190</v>
      </c>
      <c r="F137" s="94" t="s">
        <v>1544</v>
      </c>
      <c r="G137" s="95" t="s">
        <v>299</v>
      </c>
      <c r="H137" s="94">
        <v>103211936</v>
      </c>
      <c r="I137" s="101">
        <f t="shared" si="8"/>
        <v>45277.713194444441</v>
      </c>
      <c r="J137" s="102">
        <f t="shared" si="9"/>
        <v>12</v>
      </c>
      <c r="K137" s="103">
        <f t="shared" si="10"/>
        <v>17</v>
      </c>
      <c r="L137" s="83">
        <f t="shared" si="11"/>
        <v>17</v>
      </c>
    </row>
    <row r="138" spans="1:12" x14ac:dyDescent="0.25">
      <c r="A138" s="105">
        <v>45277.513888888891</v>
      </c>
      <c r="B138" s="107" t="s">
        <v>1554</v>
      </c>
      <c r="C138" s="99" t="s">
        <v>1571</v>
      </c>
      <c r="D138" s="99" t="s">
        <v>1572</v>
      </c>
      <c r="E138" s="93">
        <v>11.68</v>
      </c>
      <c r="F138" s="94" t="s">
        <v>1543</v>
      </c>
      <c r="G138" s="95" t="s">
        <v>302</v>
      </c>
      <c r="H138" s="94">
        <v>103848510</v>
      </c>
      <c r="I138" s="101">
        <f t="shared" si="8"/>
        <v>45277.513888888891</v>
      </c>
      <c r="J138" s="102">
        <f t="shared" si="9"/>
        <v>12</v>
      </c>
      <c r="K138" s="103">
        <f t="shared" si="10"/>
        <v>17</v>
      </c>
      <c r="L138" s="83">
        <f t="shared" si="11"/>
        <v>12</v>
      </c>
    </row>
    <row r="139" spans="1:12" x14ac:dyDescent="0.25">
      <c r="A139" s="105">
        <v>45277.724305555559</v>
      </c>
      <c r="B139" s="107" t="s">
        <v>1561</v>
      </c>
      <c r="C139" s="99" t="s">
        <v>1573</v>
      </c>
      <c r="D139" s="99" t="s">
        <v>1574</v>
      </c>
      <c r="E139" s="93">
        <v>25</v>
      </c>
      <c r="F139" s="94" t="s">
        <v>1543</v>
      </c>
      <c r="G139" s="95" t="s">
        <v>304</v>
      </c>
      <c r="H139" s="94">
        <v>104128299</v>
      </c>
      <c r="I139" s="101">
        <f t="shared" si="8"/>
        <v>45277.724305555559</v>
      </c>
      <c r="J139" s="102">
        <f t="shared" si="9"/>
        <v>12</v>
      </c>
      <c r="K139" s="103">
        <f t="shared" si="10"/>
        <v>17</v>
      </c>
      <c r="L139" s="83">
        <f t="shared" si="11"/>
        <v>17</v>
      </c>
    </row>
    <row r="140" spans="1:12" x14ac:dyDescent="0.25">
      <c r="A140" s="105">
        <v>45277.701388888891</v>
      </c>
      <c r="B140" s="107" t="s">
        <v>1568</v>
      </c>
      <c r="C140" s="99" t="s">
        <v>1576</v>
      </c>
      <c r="D140" s="99" t="s">
        <v>1577</v>
      </c>
      <c r="E140" s="93">
        <v>64</v>
      </c>
      <c r="F140" s="94" t="s">
        <v>1543</v>
      </c>
      <c r="G140" s="95" t="s">
        <v>306</v>
      </c>
      <c r="H140" s="94">
        <v>103592360</v>
      </c>
      <c r="I140" s="101">
        <f t="shared" si="8"/>
        <v>45277.701388888891</v>
      </c>
      <c r="J140" s="102">
        <f t="shared" si="9"/>
        <v>12</v>
      </c>
      <c r="K140" s="103">
        <f t="shared" si="10"/>
        <v>17</v>
      </c>
      <c r="L140" s="83">
        <f t="shared" si="11"/>
        <v>16</v>
      </c>
    </row>
    <row r="141" spans="1:12" x14ac:dyDescent="0.25">
      <c r="A141" s="105">
        <v>45277.647222222222</v>
      </c>
      <c r="B141" s="107" t="s">
        <v>1575</v>
      </c>
      <c r="C141" s="99" t="s">
        <v>1578</v>
      </c>
      <c r="D141" s="99" t="s">
        <v>1579</v>
      </c>
      <c r="E141" s="93">
        <v>15.62</v>
      </c>
      <c r="F141" s="94" t="s">
        <v>1543</v>
      </c>
      <c r="G141" s="95" t="s">
        <v>308</v>
      </c>
      <c r="H141" s="94">
        <v>105722955</v>
      </c>
      <c r="I141" s="101">
        <f t="shared" si="8"/>
        <v>45277.647222222222</v>
      </c>
      <c r="J141" s="102">
        <f t="shared" si="9"/>
        <v>12</v>
      </c>
      <c r="K141" s="103">
        <f t="shared" si="10"/>
        <v>17</v>
      </c>
      <c r="L141" s="83">
        <f t="shared" si="11"/>
        <v>15</v>
      </c>
    </row>
    <row r="142" spans="1:12" x14ac:dyDescent="0.25">
      <c r="A142" s="105">
        <v>45277.710416666669</v>
      </c>
      <c r="B142" s="107" t="s">
        <v>1582</v>
      </c>
      <c r="C142" s="99" t="s">
        <v>1580</v>
      </c>
      <c r="D142" s="99" t="s">
        <v>1581</v>
      </c>
      <c r="E142" s="93">
        <v>14.31</v>
      </c>
      <c r="F142" s="94" t="s">
        <v>1543</v>
      </c>
      <c r="G142" s="95" t="s">
        <v>310</v>
      </c>
      <c r="H142" s="94">
        <v>101693416</v>
      </c>
      <c r="I142" s="101">
        <f t="shared" si="8"/>
        <v>45277.710416666669</v>
      </c>
      <c r="J142" s="102">
        <f t="shared" si="9"/>
        <v>12</v>
      </c>
      <c r="K142" s="103">
        <f t="shared" si="10"/>
        <v>17</v>
      </c>
      <c r="L142" s="83">
        <f t="shared" si="11"/>
        <v>17</v>
      </c>
    </row>
    <row r="143" spans="1:12" x14ac:dyDescent="0.25">
      <c r="A143" s="105">
        <v>45277.677777777775</v>
      </c>
      <c r="B143" s="107" t="s">
        <v>1586</v>
      </c>
      <c r="C143" s="99" t="s">
        <v>1548</v>
      </c>
      <c r="D143" s="99" t="s">
        <v>1549</v>
      </c>
      <c r="E143" s="93">
        <v>71</v>
      </c>
      <c r="F143" s="94" t="s">
        <v>1545</v>
      </c>
      <c r="G143" s="95" t="s">
        <v>312</v>
      </c>
      <c r="H143" s="94">
        <v>104702106</v>
      </c>
      <c r="I143" s="101">
        <f t="shared" si="8"/>
        <v>45277.677777777775</v>
      </c>
      <c r="J143" s="102">
        <f t="shared" si="9"/>
        <v>12</v>
      </c>
      <c r="K143" s="103">
        <f t="shared" si="10"/>
        <v>17</v>
      </c>
      <c r="L143" s="83">
        <f t="shared" si="11"/>
        <v>16</v>
      </c>
    </row>
    <row r="144" spans="1:12" x14ac:dyDescent="0.25">
      <c r="A144" s="105">
        <v>45277.517361111109</v>
      </c>
      <c r="B144" s="107" t="s">
        <v>1589</v>
      </c>
      <c r="C144" s="99" t="s">
        <v>1583</v>
      </c>
      <c r="D144" s="99" t="s">
        <v>1574</v>
      </c>
      <c r="E144" s="93">
        <v>74.739999999999995</v>
      </c>
      <c r="F144" s="94" t="s">
        <v>1543</v>
      </c>
      <c r="G144" s="95" t="s">
        <v>314</v>
      </c>
      <c r="H144" s="94">
        <v>105633410</v>
      </c>
      <c r="I144" s="101">
        <f t="shared" si="8"/>
        <v>45277.517361111109</v>
      </c>
      <c r="J144" s="102">
        <f t="shared" si="9"/>
        <v>12</v>
      </c>
      <c r="K144" s="103">
        <f t="shared" si="10"/>
        <v>17</v>
      </c>
      <c r="L144" s="83">
        <f t="shared" si="11"/>
        <v>12</v>
      </c>
    </row>
    <row r="145" spans="1:12" x14ac:dyDescent="0.25">
      <c r="A145" s="105">
        <v>45277.779861111114</v>
      </c>
      <c r="B145" s="107" t="s">
        <v>1590</v>
      </c>
      <c r="C145" s="99" t="s">
        <v>1584</v>
      </c>
      <c r="D145" s="99" t="s">
        <v>1585</v>
      </c>
      <c r="E145" s="93">
        <v>243</v>
      </c>
      <c r="F145" s="94" t="s">
        <v>1543</v>
      </c>
      <c r="G145" s="95" t="s">
        <v>316</v>
      </c>
      <c r="H145" s="94">
        <v>104494890</v>
      </c>
      <c r="I145" s="101">
        <f t="shared" si="8"/>
        <v>45277.779861111114</v>
      </c>
      <c r="J145" s="102">
        <f t="shared" si="9"/>
        <v>12</v>
      </c>
      <c r="K145" s="103">
        <f t="shared" si="10"/>
        <v>17</v>
      </c>
      <c r="L145" s="83">
        <f t="shared" si="11"/>
        <v>18</v>
      </c>
    </row>
    <row r="146" spans="1:12" x14ac:dyDescent="0.25">
      <c r="A146" s="105">
        <v>45277.606249999997</v>
      </c>
      <c r="B146" s="107" t="s">
        <v>1591</v>
      </c>
      <c r="C146" s="99" t="s">
        <v>1557</v>
      </c>
      <c r="D146" s="99" t="s">
        <v>1558</v>
      </c>
      <c r="E146" s="93">
        <v>189</v>
      </c>
      <c r="F146" s="94" t="s">
        <v>1544</v>
      </c>
      <c r="G146" s="95" t="s">
        <v>318</v>
      </c>
      <c r="H146" s="94">
        <v>105279757</v>
      </c>
      <c r="I146" s="101">
        <f t="shared" si="8"/>
        <v>45277.606249999997</v>
      </c>
      <c r="J146" s="102">
        <f t="shared" si="9"/>
        <v>12</v>
      </c>
      <c r="K146" s="103">
        <f t="shared" si="10"/>
        <v>17</v>
      </c>
      <c r="L146" s="83">
        <f t="shared" si="11"/>
        <v>14</v>
      </c>
    </row>
    <row r="147" spans="1:12" x14ac:dyDescent="0.25">
      <c r="A147" s="105">
        <v>45277.62777777778</v>
      </c>
      <c r="B147" s="107" t="s">
        <v>1592</v>
      </c>
      <c r="C147" s="99" t="s">
        <v>1587</v>
      </c>
      <c r="D147" s="99" t="s">
        <v>1588</v>
      </c>
      <c r="E147" s="93">
        <v>80</v>
      </c>
      <c r="F147" s="94" t="s">
        <v>1543</v>
      </c>
      <c r="G147" s="95" t="s">
        <v>320</v>
      </c>
      <c r="H147" s="94">
        <v>104167177</v>
      </c>
      <c r="I147" s="101">
        <f t="shared" si="8"/>
        <v>45277.62777777778</v>
      </c>
      <c r="J147" s="102">
        <f t="shared" si="9"/>
        <v>12</v>
      </c>
      <c r="K147" s="103">
        <f t="shared" si="10"/>
        <v>17</v>
      </c>
      <c r="L147" s="83">
        <f t="shared" si="11"/>
        <v>15</v>
      </c>
    </row>
    <row r="148" spans="1:12" x14ac:dyDescent="0.25">
      <c r="A148" s="105">
        <v>45277.570138888892</v>
      </c>
      <c r="B148" s="107" t="s">
        <v>1593</v>
      </c>
      <c r="C148" s="99" t="s">
        <v>1564</v>
      </c>
      <c r="D148" s="99" t="s">
        <v>1565</v>
      </c>
      <c r="E148" s="93">
        <v>21</v>
      </c>
      <c r="F148" s="94" t="s">
        <v>1543</v>
      </c>
      <c r="G148" s="95" t="s">
        <v>322</v>
      </c>
      <c r="H148" s="94">
        <v>104965801</v>
      </c>
      <c r="I148" s="101">
        <f t="shared" si="8"/>
        <v>45277.570138888892</v>
      </c>
      <c r="J148" s="102">
        <f t="shared" si="9"/>
        <v>12</v>
      </c>
      <c r="K148" s="103">
        <f t="shared" si="10"/>
        <v>17</v>
      </c>
      <c r="L148" s="83">
        <f t="shared" si="11"/>
        <v>13</v>
      </c>
    </row>
    <row r="149" spans="1:12" x14ac:dyDescent="0.25">
      <c r="A149" s="105">
        <v>45277.71597222222</v>
      </c>
      <c r="B149" s="107" t="s">
        <v>1594</v>
      </c>
      <c r="C149" s="99" t="s">
        <v>1548</v>
      </c>
      <c r="D149" s="99" t="s">
        <v>1549</v>
      </c>
      <c r="E149" s="93">
        <v>347.89</v>
      </c>
      <c r="F149" s="94" t="s">
        <v>1543</v>
      </c>
      <c r="G149" s="95" t="s">
        <v>324</v>
      </c>
      <c r="H149" s="94">
        <v>104688030</v>
      </c>
      <c r="I149" s="101">
        <f t="shared" si="8"/>
        <v>45277.71597222222</v>
      </c>
      <c r="J149" s="102">
        <f t="shared" si="9"/>
        <v>12</v>
      </c>
      <c r="K149" s="103">
        <f t="shared" si="10"/>
        <v>17</v>
      </c>
      <c r="L149" s="83">
        <f t="shared" si="11"/>
        <v>17</v>
      </c>
    </row>
    <row r="150" spans="1:12" x14ac:dyDescent="0.25">
      <c r="A150" s="105">
        <v>45277.782638888886</v>
      </c>
      <c r="B150" s="107" t="s">
        <v>1595</v>
      </c>
      <c r="C150" s="99" t="s">
        <v>1550</v>
      </c>
      <c r="D150" s="99" t="s">
        <v>1551</v>
      </c>
      <c r="E150" s="93">
        <v>33.96</v>
      </c>
      <c r="F150" s="94" t="s">
        <v>1543</v>
      </c>
      <c r="G150" s="95" t="s">
        <v>326</v>
      </c>
      <c r="H150" s="94">
        <v>105712906</v>
      </c>
      <c r="I150" s="101">
        <f t="shared" si="8"/>
        <v>45277.782638888886</v>
      </c>
      <c r="J150" s="102">
        <f t="shared" si="9"/>
        <v>12</v>
      </c>
      <c r="K150" s="103">
        <f t="shared" si="10"/>
        <v>17</v>
      </c>
      <c r="L150" s="83">
        <f t="shared" si="11"/>
        <v>18</v>
      </c>
    </row>
    <row r="151" spans="1:12" x14ac:dyDescent="0.25">
      <c r="A151" s="105">
        <v>45277.55972222222</v>
      </c>
      <c r="B151" s="107" t="s">
        <v>1597</v>
      </c>
      <c r="C151" s="99" t="s">
        <v>1562</v>
      </c>
      <c r="D151" s="99" t="s">
        <v>1563</v>
      </c>
      <c r="E151" s="93">
        <v>32.159999999999997</v>
      </c>
      <c r="F151" s="94" t="s">
        <v>1543</v>
      </c>
      <c r="G151" s="95" t="s">
        <v>328</v>
      </c>
      <c r="H151" s="94">
        <v>105670990</v>
      </c>
      <c r="I151" s="101">
        <f t="shared" si="8"/>
        <v>45277.55972222222</v>
      </c>
      <c r="J151" s="102">
        <f t="shared" si="9"/>
        <v>12</v>
      </c>
      <c r="K151" s="103">
        <f t="shared" si="10"/>
        <v>17</v>
      </c>
      <c r="L151" s="83">
        <f t="shared" si="11"/>
        <v>13</v>
      </c>
    </row>
    <row r="152" spans="1:12" x14ac:dyDescent="0.25">
      <c r="A152" s="105">
        <v>45277.59652777778</v>
      </c>
      <c r="B152" s="107" t="s">
        <v>1547</v>
      </c>
      <c r="C152" s="99" t="s">
        <v>1552</v>
      </c>
      <c r="D152" s="99" t="s">
        <v>1553</v>
      </c>
      <c r="E152" s="93">
        <v>10</v>
      </c>
      <c r="F152" s="94" t="s">
        <v>1543</v>
      </c>
      <c r="G152" s="95" t="s">
        <v>331</v>
      </c>
      <c r="H152" s="94">
        <v>105057101</v>
      </c>
      <c r="I152" s="101">
        <f t="shared" si="8"/>
        <v>45277.59652777778</v>
      </c>
      <c r="J152" s="102">
        <f t="shared" si="9"/>
        <v>12</v>
      </c>
      <c r="K152" s="103">
        <f t="shared" si="10"/>
        <v>17</v>
      </c>
      <c r="L152" s="83">
        <f t="shared" si="11"/>
        <v>14</v>
      </c>
    </row>
    <row r="153" spans="1:12" x14ac:dyDescent="0.25">
      <c r="A153" s="105">
        <v>45277.640972222223</v>
      </c>
      <c r="B153" s="107" t="s">
        <v>1554</v>
      </c>
      <c r="C153" s="99" t="s">
        <v>1555</v>
      </c>
      <c r="D153" s="99" t="s">
        <v>1556</v>
      </c>
      <c r="E153" s="93">
        <v>44</v>
      </c>
      <c r="F153" s="94" t="s">
        <v>1543</v>
      </c>
      <c r="G153" s="95" t="s">
        <v>333</v>
      </c>
      <c r="H153" s="94">
        <v>105516522</v>
      </c>
      <c r="I153" s="101">
        <f t="shared" si="8"/>
        <v>45277.640972222223</v>
      </c>
      <c r="J153" s="102">
        <f t="shared" si="9"/>
        <v>12</v>
      </c>
      <c r="K153" s="103">
        <f t="shared" si="10"/>
        <v>17</v>
      </c>
      <c r="L153" s="83">
        <f t="shared" si="11"/>
        <v>15</v>
      </c>
    </row>
    <row r="154" spans="1:12" x14ac:dyDescent="0.25">
      <c r="A154" s="105">
        <v>45277.441666666666</v>
      </c>
      <c r="B154" s="107" t="s">
        <v>1561</v>
      </c>
      <c r="C154" s="99" t="s">
        <v>1559</v>
      </c>
      <c r="D154" s="99" t="s">
        <v>1560</v>
      </c>
      <c r="E154" s="93">
        <v>59.81</v>
      </c>
      <c r="F154" s="94" t="s">
        <v>1543</v>
      </c>
      <c r="G154" s="95" t="s">
        <v>335</v>
      </c>
      <c r="H154" s="94">
        <v>103453189</v>
      </c>
      <c r="I154" s="101">
        <f t="shared" si="8"/>
        <v>45277.441666666666</v>
      </c>
      <c r="J154" s="102">
        <f t="shared" si="9"/>
        <v>12</v>
      </c>
      <c r="K154" s="103">
        <f t="shared" si="10"/>
        <v>17</v>
      </c>
      <c r="L154" s="83">
        <f t="shared" si="11"/>
        <v>10</v>
      </c>
    </row>
    <row r="155" spans="1:12" x14ac:dyDescent="0.25">
      <c r="A155" s="105">
        <v>45277.671527777777</v>
      </c>
      <c r="B155" s="107" t="s">
        <v>1568</v>
      </c>
      <c r="C155" s="99" t="s">
        <v>1548</v>
      </c>
      <c r="D155" s="99" t="s">
        <v>1549</v>
      </c>
      <c r="E155" s="93">
        <v>31.33</v>
      </c>
      <c r="F155" s="94" t="s">
        <v>1543</v>
      </c>
      <c r="G155" s="95" t="s">
        <v>337</v>
      </c>
      <c r="H155" s="94">
        <v>104600823</v>
      </c>
      <c r="I155" s="101">
        <f t="shared" si="8"/>
        <v>45277.671527777777</v>
      </c>
      <c r="J155" s="102">
        <f t="shared" si="9"/>
        <v>12</v>
      </c>
      <c r="K155" s="103">
        <f t="shared" si="10"/>
        <v>17</v>
      </c>
      <c r="L155" s="83">
        <f t="shared" si="11"/>
        <v>16</v>
      </c>
    </row>
    <row r="156" spans="1:12" x14ac:dyDescent="0.25">
      <c r="A156" s="105">
        <v>45277.455555555556</v>
      </c>
      <c r="B156" s="107" t="s">
        <v>1575</v>
      </c>
      <c r="C156" s="99" t="s">
        <v>1566</v>
      </c>
      <c r="D156" s="99" t="s">
        <v>1567</v>
      </c>
      <c r="E156" s="93">
        <v>10</v>
      </c>
      <c r="F156" s="94" t="s">
        <v>1543</v>
      </c>
      <c r="G156" s="95" t="s">
        <v>339</v>
      </c>
      <c r="H156" s="94">
        <v>103756765</v>
      </c>
      <c r="I156" s="101">
        <f t="shared" si="8"/>
        <v>45277.455555555556</v>
      </c>
      <c r="J156" s="102">
        <f t="shared" si="9"/>
        <v>12</v>
      </c>
      <c r="K156" s="103">
        <f t="shared" si="10"/>
        <v>17</v>
      </c>
      <c r="L156" s="83">
        <f t="shared" si="11"/>
        <v>10</v>
      </c>
    </row>
    <row r="157" spans="1:12" x14ac:dyDescent="0.25">
      <c r="A157" s="105">
        <v>45277.713888888888</v>
      </c>
      <c r="B157" s="107" t="s">
        <v>1582</v>
      </c>
      <c r="C157" s="99" t="s">
        <v>1564</v>
      </c>
      <c r="D157" s="99" t="s">
        <v>1565</v>
      </c>
      <c r="E157" s="93">
        <v>168.74</v>
      </c>
      <c r="F157" s="94" t="s">
        <v>1543</v>
      </c>
      <c r="G157" s="95" t="s">
        <v>341</v>
      </c>
      <c r="H157" s="94">
        <v>104068365</v>
      </c>
      <c r="I157" s="101">
        <f t="shared" si="8"/>
        <v>45277.713888888888</v>
      </c>
      <c r="J157" s="102">
        <f t="shared" si="9"/>
        <v>12</v>
      </c>
      <c r="K157" s="103">
        <f t="shared" si="10"/>
        <v>17</v>
      </c>
      <c r="L157" s="83">
        <f t="shared" si="11"/>
        <v>17</v>
      </c>
    </row>
    <row r="158" spans="1:12" x14ac:dyDescent="0.25">
      <c r="A158" s="105">
        <v>45277.506944444445</v>
      </c>
      <c r="B158" s="107" t="s">
        <v>1586</v>
      </c>
      <c r="C158" s="99" t="s">
        <v>1548</v>
      </c>
      <c r="D158" s="99" t="s">
        <v>1549</v>
      </c>
      <c r="E158" s="93">
        <v>19.54</v>
      </c>
      <c r="F158" s="94" t="s">
        <v>1543</v>
      </c>
      <c r="G158" s="95" t="s">
        <v>343</v>
      </c>
      <c r="H158" s="94">
        <v>102601331</v>
      </c>
      <c r="I158" s="101">
        <f t="shared" si="8"/>
        <v>45277.506944444445</v>
      </c>
      <c r="J158" s="102">
        <f t="shared" si="9"/>
        <v>12</v>
      </c>
      <c r="K158" s="103">
        <f t="shared" si="10"/>
        <v>17</v>
      </c>
      <c r="L158" s="83">
        <f t="shared" si="11"/>
        <v>12</v>
      </c>
    </row>
    <row r="159" spans="1:12" x14ac:dyDescent="0.25">
      <c r="A159" s="105">
        <v>45277.449305555558</v>
      </c>
      <c r="B159" s="107" t="s">
        <v>1589</v>
      </c>
      <c r="C159" s="99" t="s">
        <v>1550</v>
      </c>
      <c r="D159" s="99" t="s">
        <v>1551</v>
      </c>
      <c r="E159" s="93">
        <v>29</v>
      </c>
      <c r="F159" s="94" t="s">
        <v>1543</v>
      </c>
      <c r="G159" s="95" t="s">
        <v>345</v>
      </c>
      <c r="H159" s="94">
        <v>105345288</v>
      </c>
      <c r="I159" s="101">
        <f t="shared" si="8"/>
        <v>45277.449305555558</v>
      </c>
      <c r="J159" s="102">
        <f t="shared" si="9"/>
        <v>12</v>
      </c>
      <c r="K159" s="103">
        <f t="shared" si="10"/>
        <v>17</v>
      </c>
      <c r="L159" s="83">
        <f t="shared" si="11"/>
        <v>10</v>
      </c>
    </row>
    <row r="160" spans="1:12" x14ac:dyDescent="0.25">
      <c r="A160" s="105">
        <v>45277.637499999997</v>
      </c>
      <c r="B160" s="107" t="s">
        <v>1590</v>
      </c>
      <c r="C160" s="99" t="s">
        <v>1557</v>
      </c>
      <c r="D160" s="99" t="s">
        <v>1558</v>
      </c>
      <c r="E160" s="93">
        <v>151</v>
      </c>
      <c r="F160" s="94" t="s">
        <v>1543</v>
      </c>
      <c r="G160" s="95" t="s">
        <v>347</v>
      </c>
      <c r="H160" s="94">
        <v>105077442</v>
      </c>
      <c r="I160" s="101">
        <f t="shared" si="8"/>
        <v>45277.637499999997</v>
      </c>
      <c r="J160" s="102">
        <f t="shared" si="9"/>
        <v>12</v>
      </c>
      <c r="K160" s="103">
        <f t="shared" si="10"/>
        <v>17</v>
      </c>
      <c r="L160" s="83">
        <f t="shared" si="11"/>
        <v>15</v>
      </c>
    </row>
    <row r="161" spans="1:12" x14ac:dyDescent="0.25">
      <c r="A161" s="105">
        <v>45277.760416666664</v>
      </c>
      <c r="B161" s="107" t="s">
        <v>1591</v>
      </c>
      <c r="C161" s="99" t="s">
        <v>1562</v>
      </c>
      <c r="D161" s="99" t="s">
        <v>1563</v>
      </c>
      <c r="E161" s="93">
        <v>190.95</v>
      </c>
      <c r="F161" s="94" t="s">
        <v>1543</v>
      </c>
      <c r="G161" s="95" t="s">
        <v>349</v>
      </c>
      <c r="H161" s="94">
        <v>102261839</v>
      </c>
      <c r="I161" s="101">
        <f t="shared" si="8"/>
        <v>45277.760416666664</v>
      </c>
      <c r="J161" s="102">
        <f t="shared" si="9"/>
        <v>12</v>
      </c>
      <c r="K161" s="103">
        <f t="shared" si="10"/>
        <v>17</v>
      </c>
      <c r="L161" s="83">
        <f t="shared" si="11"/>
        <v>18</v>
      </c>
    </row>
    <row r="162" spans="1:12" x14ac:dyDescent="0.25">
      <c r="A162" s="105">
        <v>45277.668749999997</v>
      </c>
      <c r="B162" s="107" t="s">
        <v>1592</v>
      </c>
      <c r="C162" s="99" t="s">
        <v>1576</v>
      </c>
      <c r="D162" s="99" t="s">
        <v>1577</v>
      </c>
      <c r="E162" s="93">
        <v>158.30000000000001</v>
      </c>
      <c r="F162" s="94" t="s">
        <v>1543</v>
      </c>
      <c r="G162" s="95" t="s">
        <v>352</v>
      </c>
      <c r="H162" s="94">
        <v>104851559</v>
      </c>
      <c r="I162" s="101">
        <f t="shared" si="8"/>
        <v>45277.668749999997</v>
      </c>
      <c r="J162" s="102">
        <f t="shared" si="9"/>
        <v>12</v>
      </c>
      <c r="K162" s="103">
        <f t="shared" si="10"/>
        <v>17</v>
      </c>
      <c r="L162" s="83">
        <f t="shared" si="11"/>
        <v>16</v>
      </c>
    </row>
    <row r="163" spans="1:12" x14ac:dyDescent="0.25">
      <c r="A163" s="105">
        <v>45277.434027777781</v>
      </c>
      <c r="B163" s="107" t="s">
        <v>1593</v>
      </c>
      <c r="C163" s="99" t="s">
        <v>1569</v>
      </c>
      <c r="D163" s="99" t="s">
        <v>1570</v>
      </c>
      <c r="E163" s="93">
        <v>50</v>
      </c>
      <c r="F163" s="94" t="s">
        <v>1544</v>
      </c>
      <c r="G163" s="95" t="s">
        <v>354</v>
      </c>
      <c r="H163" s="94">
        <v>103828210</v>
      </c>
      <c r="I163" s="101">
        <f t="shared" si="8"/>
        <v>45277.434027777781</v>
      </c>
      <c r="J163" s="102">
        <f t="shared" si="9"/>
        <v>12</v>
      </c>
      <c r="K163" s="103">
        <f t="shared" si="10"/>
        <v>17</v>
      </c>
      <c r="L163" s="83">
        <f t="shared" si="11"/>
        <v>10</v>
      </c>
    </row>
    <row r="164" spans="1:12" x14ac:dyDescent="0.25">
      <c r="A164" s="105">
        <v>45277.432638888888</v>
      </c>
      <c r="B164" s="107" t="s">
        <v>1594</v>
      </c>
      <c r="C164" s="99" t="s">
        <v>1548</v>
      </c>
      <c r="D164" s="99" t="s">
        <v>1549</v>
      </c>
      <c r="E164" s="93">
        <v>375</v>
      </c>
      <c r="F164" s="94" t="s">
        <v>1543</v>
      </c>
      <c r="G164" s="95" t="s">
        <v>356</v>
      </c>
      <c r="H164" s="94">
        <v>103138410</v>
      </c>
      <c r="I164" s="101">
        <f t="shared" si="8"/>
        <v>45277.432638888888</v>
      </c>
      <c r="J164" s="102">
        <f t="shared" si="9"/>
        <v>12</v>
      </c>
      <c r="K164" s="103">
        <f t="shared" si="10"/>
        <v>17</v>
      </c>
      <c r="L164" s="83">
        <f t="shared" si="11"/>
        <v>10</v>
      </c>
    </row>
    <row r="165" spans="1:12" x14ac:dyDescent="0.25">
      <c r="A165" s="105">
        <v>45277.482638888891</v>
      </c>
      <c r="B165" s="107" t="s">
        <v>1595</v>
      </c>
      <c r="C165" s="99" t="s">
        <v>1559</v>
      </c>
      <c r="D165" s="99" t="s">
        <v>1560</v>
      </c>
      <c r="E165" s="93">
        <v>50</v>
      </c>
      <c r="F165" s="94" t="s">
        <v>1543</v>
      </c>
      <c r="G165" s="95" t="s">
        <v>358</v>
      </c>
      <c r="H165" s="94">
        <v>103979658</v>
      </c>
      <c r="I165" s="101">
        <f t="shared" si="8"/>
        <v>45277.482638888891</v>
      </c>
      <c r="J165" s="102">
        <f t="shared" si="9"/>
        <v>12</v>
      </c>
      <c r="K165" s="103">
        <f t="shared" si="10"/>
        <v>17</v>
      </c>
      <c r="L165" s="83">
        <f t="shared" si="11"/>
        <v>11</v>
      </c>
    </row>
    <row r="166" spans="1:12" x14ac:dyDescent="0.25">
      <c r="A166" s="105">
        <v>45277.557638888888</v>
      </c>
      <c r="B166" s="107" t="s">
        <v>1597</v>
      </c>
      <c r="C166" s="99" t="s">
        <v>1571</v>
      </c>
      <c r="D166" s="99" t="s">
        <v>1572</v>
      </c>
      <c r="E166" s="93">
        <v>223</v>
      </c>
      <c r="F166" s="94" t="s">
        <v>1543</v>
      </c>
      <c r="G166" s="95" t="s">
        <v>360</v>
      </c>
      <c r="H166" s="94">
        <v>104946270</v>
      </c>
      <c r="I166" s="101">
        <f t="shared" si="8"/>
        <v>45277.557638888888</v>
      </c>
      <c r="J166" s="102">
        <f t="shared" si="9"/>
        <v>12</v>
      </c>
      <c r="K166" s="103">
        <f t="shared" si="10"/>
        <v>17</v>
      </c>
      <c r="L166" s="83">
        <f t="shared" si="11"/>
        <v>13</v>
      </c>
    </row>
    <row r="167" spans="1:12" x14ac:dyDescent="0.25">
      <c r="A167" s="105">
        <v>45277.681250000001</v>
      </c>
      <c r="B167" s="107" t="s">
        <v>1547</v>
      </c>
      <c r="C167" s="99" t="s">
        <v>1550</v>
      </c>
      <c r="D167" s="99" t="s">
        <v>1551</v>
      </c>
      <c r="E167" s="93">
        <v>72</v>
      </c>
      <c r="F167" s="94" t="s">
        <v>1543</v>
      </c>
      <c r="G167" s="95" t="s">
        <v>362</v>
      </c>
      <c r="H167" s="94">
        <v>105471271</v>
      </c>
      <c r="I167" s="101">
        <f t="shared" si="8"/>
        <v>45277.681250000001</v>
      </c>
      <c r="J167" s="102">
        <f t="shared" si="9"/>
        <v>12</v>
      </c>
      <c r="K167" s="103">
        <f t="shared" si="10"/>
        <v>17</v>
      </c>
      <c r="L167" s="83">
        <f t="shared" si="11"/>
        <v>16</v>
      </c>
    </row>
    <row r="168" spans="1:12" x14ac:dyDescent="0.25">
      <c r="A168" s="105">
        <v>45277.702777777777</v>
      </c>
      <c r="B168" s="107" t="s">
        <v>1554</v>
      </c>
      <c r="C168" s="99" t="s">
        <v>1557</v>
      </c>
      <c r="D168" s="99" t="s">
        <v>1558</v>
      </c>
      <c r="E168" s="93">
        <v>67</v>
      </c>
      <c r="F168" s="94" t="s">
        <v>1543</v>
      </c>
      <c r="G168" s="95" t="s">
        <v>364</v>
      </c>
      <c r="H168" s="94">
        <v>104316126</v>
      </c>
      <c r="I168" s="101">
        <f t="shared" si="8"/>
        <v>45277.702777777777</v>
      </c>
      <c r="J168" s="102">
        <f t="shared" si="9"/>
        <v>12</v>
      </c>
      <c r="K168" s="103">
        <f t="shared" si="10"/>
        <v>17</v>
      </c>
      <c r="L168" s="83">
        <f t="shared" si="11"/>
        <v>16</v>
      </c>
    </row>
    <row r="169" spans="1:12" x14ac:dyDescent="0.25">
      <c r="A169" s="105">
        <v>45277.763194444444</v>
      </c>
      <c r="B169" s="107" t="s">
        <v>1561</v>
      </c>
      <c r="C169" s="99" t="s">
        <v>1555</v>
      </c>
      <c r="D169" s="99" t="s">
        <v>1556</v>
      </c>
      <c r="E169" s="93">
        <v>78.180000000000007</v>
      </c>
      <c r="F169" s="94" t="s">
        <v>1543</v>
      </c>
      <c r="G169" s="95" t="s">
        <v>366</v>
      </c>
      <c r="H169" s="94">
        <v>105490126</v>
      </c>
      <c r="I169" s="101">
        <f t="shared" si="8"/>
        <v>45277.763194444444</v>
      </c>
      <c r="J169" s="102">
        <f t="shared" si="9"/>
        <v>12</v>
      </c>
      <c r="K169" s="103">
        <f t="shared" si="10"/>
        <v>17</v>
      </c>
      <c r="L169" s="83">
        <f t="shared" si="11"/>
        <v>18</v>
      </c>
    </row>
    <row r="170" spans="1:12" x14ac:dyDescent="0.25">
      <c r="A170" s="105">
        <v>45277.730555555558</v>
      </c>
      <c r="B170" s="107" t="s">
        <v>1568</v>
      </c>
      <c r="C170" s="99" t="s">
        <v>1548</v>
      </c>
      <c r="D170" s="99" t="s">
        <v>1549</v>
      </c>
      <c r="E170" s="93">
        <v>100</v>
      </c>
      <c r="F170" s="94" t="s">
        <v>1543</v>
      </c>
      <c r="G170" s="95" t="s">
        <v>368</v>
      </c>
      <c r="H170" s="94">
        <v>103836545</v>
      </c>
      <c r="I170" s="101">
        <f t="shared" si="8"/>
        <v>45277.730555555558</v>
      </c>
      <c r="J170" s="102">
        <f t="shared" si="9"/>
        <v>12</v>
      </c>
      <c r="K170" s="103">
        <f t="shared" si="10"/>
        <v>17</v>
      </c>
      <c r="L170" s="83">
        <f t="shared" si="11"/>
        <v>17</v>
      </c>
    </row>
    <row r="171" spans="1:12" x14ac:dyDescent="0.25">
      <c r="A171" s="105">
        <v>45277.595833333333</v>
      </c>
      <c r="B171" s="107" t="s">
        <v>1575</v>
      </c>
      <c r="C171" s="99" t="s">
        <v>1550</v>
      </c>
      <c r="D171" s="99" t="s">
        <v>1551</v>
      </c>
      <c r="E171" s="93">
        <v>15</v>
      </c>
      <c r="F171" s="94" t="s">
        <v>1544</v>
      </c>
      <c r="G171" s="95" t="s">
        <v>370</v>
      </c>
      <c r="H171" s="94">
        <v>105057101</v>
      </c>
      <c r="I171" s="101">
        <f t="shared" si="8"/>
        <v>45277.595833333333</v>
      </c>
      <c r="J171" s="102">
        <f t="shared" si="9"/>
        <v>12</v>
      </c>
      <c r="K171" s="103">
        <f t="shared" si="10"/>
        <v>17</v>
      </c>
      <c r="L171" s="83">
        <f t="shared" si="11"/>
        <v>14</v>
      </c>
    </row>
    <row r="172" spans="1:12" x14ac:dyDescent="0.25">
      <c r="A172" s="105">
        <v>45277.515972222223</v>
      </c>
      <c r="B172" s="107" t="s">
        <v>1582</v>
      </c>
      <c r="C172" s="99" t="s">
        <v>1552</v>
      </c>
      <c r="D172" s="99" t="s">
        <v>1553</v>
      </c>
      <c r="E172" s="93">
        <v>73.14</v>
      </c>
      <c r="F172" s="94" t="s">
        <v>1543</v>
      </c>
      <c r="G172" s="95" t="s">
        <v>372</v>
      </c>
      <c r="H172" s="94">
        <v>101127863</v>
      </c>
      <c r="I172" s="101">
        <f t="shared" si="8"/>
        <v>45277.515972222223</v>
      </c>
      <c r="J172" s="102">
        <f t="shared" si="9"/>
        <v>12</v>
      </c>
      <c r="K172" s="103">
        <f t="shared" si="10"/>
        <v>17</v>
      </c>
      <c r="L172" s="83">
        <f t="shared" si="11"/>
        <v>12</v>
      </c>
    </row>
    <row r="173" spans="1:12" x14ac:dyDescent="0.25">
      <c r="A173" s="105">
        <v>45277.724999999999</v>
      </c>
      <c r="B173" s="107" t="s">
        <v>1586</v>
      </c>
      <c r="C173" s="99" t="s">
        <v>1555</v>
      </c>
      <c r="D173" s="99" t="s">
        <v>1556</v>
      </c>
      <c r="E173" s="93">
        <v>50.18</v>
      </c>
      <c r="F173" s="94" t="s">
        <v>1543</v>
      </c>
      <c r="G173" s="95" t="s">
        <v>374</v>
      </c>
      <c r="H173" s="94">
        <v>104693348</v>
      </c>
      <c r="I173" s="101">
        <f t="shared" si="8"/>
        <v>45277.724999999999</v>
      </c>
      <c r="J173" s="102">
        <f t="shared" si="9"/>
        <v>12</v>
      </c>
      <c r="K173" s="103">
        <f t="shared" si="10"/>
        <v>17</v>
      </c>
      <c r="L173" s="83">
        <f t="shared" si="11"/>
        <v>17</v>
      </c>
    </row>
    <row r="174" spans="1:12" x14ac:dyDescent="0.25">
      <c r="A174" s="105">
        <v>45277.695138888892</v>
      </c>
      <c r="B174" s="107" t="s">
        <v>1589</v>
      </c>
      <c r="C174" s="99" t="s">
        <v>1557</v>
      </c>
      <c r="D174" s="99" t="s">
        <v>1558</v>
      </c>
      <c r="E174" s="93">
        <v>144</v>
      </c>
      <c r="F174" s="94" t="s">
        <v>1543</v>
      </c>
      <c r="G174" s="95" t="s">
        <v>376</v>
      </c>
      <c r="H174" s="94">
        <v>104759099</v>
      </c>
      <c r="I174" s="101">
        <f t="shared" si="8"/>
        <v>45277.695138888892</v>
      </c>
      <c r="J174" s="102">
        <f t="shared" si="9"/>
        <v>12</v>
      </c>
      <c r="K174" s="103">
        <f t="shared" si="10"/>
        <v>17</v>
      </c>
      <c r="L174" s="83">
        <f t="shared" si="11"/>
        <v>16</v>
      </c>
    </row>
    <row r="175" spans="1:12" x14ac:dyDescent="0.25">
      <c r="A175" s="105">
        <v>45277.704861111109</v>
      </c>
      <c r="B175" s="107" t="s">
        <v>1590</v>
      </c>
      <c r="C175" s="99" t="s">
        <v>1559</v>
      </c>
      <c r="D175" s="99" t="s">
        <v>1560</v>
      </c>
      <c r="E175" s="93">
        <v>5</v>
      </c>
      <c r="F175" s="94" t="s">
        <v>1544</v>
      </c>
      <c r="G175" s="95" t="s">
        <v>378</v>
      </c>
      <c r="H175" s="94">
        <v>103476344</v>
      </c>
      <c r="I175" s="101">
        <f t="shared" si="8"/>
        <v>45277.704861111109</v>
      </c>
      <c r="J175" s="102">
        <f t="shared" si="9"/>
        <v>12</v>
      </c>
      <c r="K175" s="103">
        <f t="shared" si="10"/>
        <v>17</v>
      </c>
      <c r="L175" s="83">
        <f t="shared" si="11"/>
        <v>16</v>
      </c>
    </row>
    <row r="176" spans="1:12" x14ac:dyDescent="0.25">
      <c r="A176" s="105">
        <v>45277.578472222223</v>
      </c>
      <c r="B176" s="107" t="s">
        <v>1591</v>
      </c>
      <c r="C176" s="99" t="s">
        <v>1562</v>
      </c>
      <c r="D176" s="99" t="s">
        <v>1563</v>
      </c>
      <c r="E176" s="93">
        <v>100</v>
      </c>
      <c r="F176" s="94" t="s">
        <v>1543</v>
      </c>
      <c r="G176" s="95" t="s">
        <v>381</v>
      </c>
      <c r="H176" s="94">
        <v>104432906</v>
      </c>
      <c r="I176" s="101">
        <f t="shared" si="8"/>
        <v>45277.578472222223</v>
      </c>
      <c r="J176" s="102">
        <f t="shared" si="9"/>
        <v>12</v>
      </c>
      <c r="K176" s="103">
        <f t="shared" si="10"/>
        <v>17</v>
      </c>
      <c r="L176" s="83">
        <f t="shared" si="11"/>
        <v>13</v>
      </c>
    </row>
    <row r="177" spans="1:12" x14ac:dyDescent="0.25">
      <c r="A177" s="105">
        <v>45277.605555555558</v>
      </c>
      <c r="B177" s="107" t="s">
        <v>1592</v>
      </c>
      <c r="C177" s="99" t="s">
        <v>1564</v>
      </c>
      <c r="D177" s="99" t="s">
        <v>1565</v>
      </c>
      <c r="E177" s="93">
        <v>20.95</v>
      </c>
      <c r="F177" s="94" t="s">
        <v>1543</v>
      </c>
      <c r="G177" s="95" t="s">
        <v>383</v>
      </c>
      <c r="H177" s="94">
        <v>104580372</v>
      </c>
      <c r="I177" s="101">
        <f t="shared" si="8"/>
        <v>45277.605555555558</v>
      </c>
      <c r="J177" s="102">
        <f t="shared" si="9"/>
        <v>12</v>
      </c>
      <c r="K177" s="103">
        <f t="shared" si="10"/>
        <v>17</v>
      </c>
      <c r="L177" s="83">
        <f t="shared" si="11"/>
        <v>14</v>
      </c>
    </row>
    <row r="178" spans="1:12" x14ac:dyDescent="0.25">
      <c r="A178" s="105">
        <v>45277.699305555558</v>
      </c>
      <c r="B178" s="107" t="s">
        <v>1593</v>
      </c>
      <c r="C178" s="99" t="s">
        <v>1566</v>
      </c>
      <c r="D178" s="99" t="s">
        <v>1567</v>
      </c>
      <c r="E178" s="93">
        <v>336</v>
      </c>
      <c r="F178" s="94" t="s">
        <v>1544</v>
      </c>
      <c r="G178" s="95" t="s">
        <v>385</v>
      </c>
      <c r="H178" s="94">
        <v>105272642</v>
      </c>
      <c r="I178" s="101">
        <f t="shared" si="8"/>
        <v>45277.699305555558</v>
      </c>
      <c r="J178" s="102">
        <f t="shared" si="9"/>
        <v>12</v>
      </c>
      <c r="K178" s="103">
        <f t="shared" si="10"/>
        <v>17</v>
      </c>
      <c r="L178" s="83">
        <f t="shared" si="11"/>
        <v>16</v>
      </c>
    </row>
    <row r="179" spans="1:12" x14ac:dyDescent="0.25">
      <c r="A179" s="105">
        <v>45277.538194444445</v>
      </c>
      <c r="B179" s="107" t="s">
        <v>1594</v>
      </c>
      <c r="C179" s="99" t="s">
        <v>1569</v>
      </c>
      <c r="D179" s="99" t="s">
        <v>1570</v>
      </c>
      <c r="E179" s="93">
        <v>40</v>
      </c>
      <c r="F179" s="94" t="s">
        <v>1544</v>
      </c>
      <c r="G179" s="95" t="s">
        <v>387</v>
      </c>
      <c r="H179" s="94">
        <v>104038492</v>
      </c>
      <c r="I179" s="101">
        <f t="shared" si="8"/>
        <v>45277.538194444445</v>
      </c>
      <c r="J179" s="102">
        <f t="shared" si="9"/>
        <v>12</v>
      </c>
      <c r="K179" s="103">
        <f t="shared" si="10"/>
        <v>17</v>
      </c>
      <c r="L179" s="83">
        <f t="shared" si="11"/>
        <v>12</v>
      </c>
    </row>
    <row r="180" spans="1:12" x14ac:dyDescent="0.25">
      <c r="A180" s="105">
        <v>45277.511805555558</v>
      </c>
      <c r="B180" s="107" t="s">
        <v>1595</v>
      </c>
      <c r="C180" s="99" t="s">
        <v>1571</v>
      </c>
      <c r="D180" s="99" t="s">
        <v>1572</v>
      </c>
      <c r="E180" s="93">
        <v>20</v>
      </c>
      <c r="F180" s="94" t="s">
        <v>1544</v>
      </c>
      <c r="G180" s="95" t="s">
        <v>389</v>
      </c>
      <c r="H180" s="94">
        <v>104616991</v>
      </c>
      <c r="I180" s="101">
        <f t="shared" si="8"/>
        <v>45277.511805555558</v>
      </c>
      <c r="J180" s="102">
        <f t="shared" si="9"/>
        <v>12</v>
      </c>
      <c r="K180" s="103">
        <f t="shared" si="10"/>
        <v>17</v>
      </c>
      <c r="L180" s="83">
        <f t="shared" si="11"/>
        <v>12</v>
      </c>
    </row>
    <row r="181" spans="1:12" x14ac:dyDescent="0.25">
      <c r="A181" s="105">
        <v>45277.663194444445</v>
      </c>
      <c r="B181" s="107" t="s">
        <v>1597</v>
      </c>
      <c r="C181" s="99" t="s">
        <v>1573</v>
      </c>
      <c r="D181" s="99" t="s">
        <v>1574</v>
      </c>
      <c r="E181" s="93">
        <v>45</v>
      </c>
      <c r="F181" s="94" t="s">
        <v>1543</v>
      </c>
      <c r="G181" s="95" t="s">
        <v>391</v>
      </c>
      <c r="H181" s="94">
        <v>104600823</v>
      </c>
      <c r="I181" s="101">
        <f t="shared" si="8"/>
        <v>45277.663194444445</v>
      </c>
      <c r="J181" s="102">
        <f t="shared" si="9"/>
        <v>12</v>
      </c>
      <c r="K181" s="103">
        <f t="shared" si="10"/>
        <v>17</v>
      </c>
      <c r="L181" s="83">
        <f t="shared" si="11"/>
        <v>15</v>
      </c>
    </row>
    <row r="182" spans="1:12" x14ac:dyDescent="0.25">
      <c r="A182" s="105">
        <v>45277.642361111109</v>
      </c>
      <c r="B182" s="107" t="s">
        <v>1547</v>
      </c>
      <c r="C182" s="99" t="s">
        <v>1576</v>
      </c>
      <c r="D182" s="99" t="s">
        <v>1577</v>
      </c>
      <c r="E182" s="93">
        <v>52.59</v>
      </c>
      <c r="F182" s="94" t="s">
        <v>1543</v>
      </c>
      <c r="G182" s="95" t="s">
        <v>393</v>
      </c>
      <c r="H182" s="94">
        <v>105661689</v>
      </c>
      <c r="I182" s="101">
        <f t="shared" si="8"/>
        <v>45277.642361111109</v>
      </c>
      <c r="J182" s="102">
        <f t="shared" si="9"/>
        <v>12</v>
      </c>
      <c r="K182" s="103">
        <f t="shared" si="10"/>
        <v>17</v>
      </c>
      <c r="L182" s="83">
        <f t="shared" si="11"/>
        <v>15</v>
      </c>
    </row>
    <row r="183" spans="1:12" x14ac:dyDescent="0.25">
      <c r="A183" s="105">
        <v>45277.728472222225</v>
      </c>
      <c r="B183" s="107" t="s">
        <v>1554</v>
      </c>
      <c r="C183" s="99" t="s">
        <v>1578</v>
      </c>
      <c r="D183" s="99" t="s">
        <v>1579</v>
      </c>
      <c r="E183" s="93">
        <v>50</v>
      </c>
      <c r="F183" s="94" t="s">
        <v>1543</v>
      </c>
      <c r="G183" s="95" t="s">
        <v>395</v>
      </c>
      <c r="H183" s="94">
        <v>104749328</v>
      </c>
      <c r="I183" s="101">
        <f t="shared" si="8"/>
        <v>45277.728472222225</v>
      </c>
      <c r="J183" s="102">
        <f t="shared" si="9"/>
        <v>12</v>
      </c>
      <c r="K183" s="103">
        <f t="shared" si="10"/>
        <v>17</v>
      </c>
      <c r="L183" s="83">
        <f t="shared" si="11"/>
        <v>17</v>
      </c>
    </row>
    <row r="184" spans="1:12" x14ac:dyDescent="0.25">
      <c r="A184" s="105">
        <v>45277.59097222222</v>
      </c>
      <c r="B184" s="107" t="s">
        <v>1561</v>
      </c>
      <c r="C184" s="99" t="s">
        <v>1580</v>
      </c>
      <c r="D184" s="99" t="s">
        <v>1581</v>
      </c>
      <c r="E184" s="93">
        <v>78.23</v>
      </c>
      <c r="F184" s="94" t="s">
        <v>1543</v>
      </c>
      <c r="G184" s="95" t="s">
        <v>397</v>
      </c>
      <c r="H184" s="94">
        <v>104678337</v>
      </c>
      <c r="I184" s="101">
        <f t="shared" si="8"/>
        <v>45277.59097222222</v>
      </c>
      <c r="J184" s="102">
        <f t="shared" si="9"/>
        <v>12</v>
      </c>
      <c r="K184" s="103">
        <f t="shared" si="10"/>
        <v>17</v>
      </c>
      <c r="L184" s="83">
        <f t="shared" si="11"/>
        <v>14</v>
      </c>
    </row>
    <row r="185" spans="1:12" x14ac:dyDescent="0.25">
      <c r="A185" s="105">
        <v>45277.726388888892</v>
      </c>
      <c r="B185" s="107" t="s">
        <v>1568</v>
      </c>
      <c r="C185" s="99" t="s">
        <v>1548</v>
      </c>
      <c r="D185" s="99" t="s">
        <v>1549</v>
      </c>
      <c r="E185" s="93">
        <v>60</v>
      </c>
      <c r="F185" s="94" t="s">
        <v>1543</v>
      </c>
      <c r="G185" s="95" t="s">
        <v>399</v>
      </c>
      <c r="H185" s="94">
        <v>105366989</v>
      </c>
      <c r="I185" s="101">
        <f t="shared" si="8"/>
        <v>45277.726388888892</v>
      </c>
      <c r="J185" s="102">
        <f t="shared" si="9"/>
        <v>12</v>
      </c>
      <c r="K185" s="103">
        <f t="shared" si="10"/>
        <v>17</v>
      </c>
      <c r="L185" s="83">
        <f t="shared" si="11"/>
        <v>17</v>
      </c>
    </row>
    <row r="186" spans="1:12" x14ac:dyDescent="0.25">
      <c r="A186" s="105">
        <v>45277.663194444445</v>
      </c>
      <c r="B186" s="107" t="s">
        <v>1575</v>
      </c>
      <c r="C186" s="99" t="s">
        <v>1583</v>
      </c>
      <c r="D186" s="99" t="s">
        <v>1574</v>
      </c>
      <c r="E186" s="93">
        <v>215</v>
      </c>
      <c r="F186" s="94" t="s">
        <v>1543</v>
      </c>
      <c r="G186" s="95" t="s">
        <v>401</v>
      </c>
      <c r="H186" s="94">
        <v>105486679</v>
      </c>
      <c r="I186" s="101">
        <f t="shared" si="8"/>
        <v>45277.663194444445</v>
      </c>
      <c r="J186" s="102">
        <f t="shared" si="9"/>
        <v>12</v>
      </c>
      <c r="K186" s="103">
        <f t="shared" si="10"/>
        <v>17</v>
      </c>
      <c r="L186" s="83">
        <f t="shared" si="11"/>
        <v>15</v>
      </c>
    </row>
    <row r="187" spans="1:12" x14ac:dyDescent="0.25">
      <c r="A187" s="105">
        <v>45277.701388888891</v>
      </c>
      <c r="B187" s="107" t="s">
        <v>1582</v>
      </c>
      <c r="C187" s="99" t="s">
        <v>1584</v>
      </c>
      <c r="D187" s="99" t="s">
        <v>1585</v>
      </c>
      <c r="E187" s="93">
        <v>30</v>
      </c>
      <c r="F187" s="94" t="s">
        <v>1544</v>
      </c>
      <c r="G187" s="95" t="s">
        <v>406</v>
      </c>
      <c r="H187" s="94">
        <v>103078773</v>
      </c>
      <c r="I187" s="101">
        <f t="shared" si="8"/>
        <v>45277.701388888891</v>
      </c>
      <c r="J187" s="102">
        <f t="shared" si="9"/>
        <v>12</v>
      </c>
      <c r="K187" s="103">
        <f t="shared" si="10"/>
        <v>17</v>
      </c>
      <c r="L187" s="83">
        <f t="shared" si="11"/>
        <v>16</v>
      </c>
    </row>
    <row r="188" spans="1:12" x14ac:dyDescent="0.25">
      <c r="A188" s="105">
        <v>45277.64166666667</v>
      </c>
      <c r="B188" s="107" t="s">
        <v>1586</v>
      </c>
      <c r="C188" s="99" t="s">
        <v>1557</v>
      </c>
      <c r="D188" s="99" t="s">
        <v>1558</v>
      </c>
      <c r="E188" s="93">
        <v>39</v>
      </c>
      <c r="F188" s="94" t="s">
        <v>1543</v>
      </c>
      <c r="G188" s="95" t="s">
        <v>408</v>
      </c>
      <c r="H188" s="94">
        <v>103835985</v>
      </c>
      <c r="I188" s="101">
        <f t="shared" si="8"/>
        <v>45277.64166666667</v>
      </c>
      <c r="J188" s="102">
        <f t="shared" si="9"/>
        <v>12</v>
      </c>
      <c r="K188" s="103">
        <f t="shared" si="10"/>
        <v>17</v>
      </c>
      <c r="L188" s="83">
        <f t="shared" si="11"/>
        <v>15</v>
      </c>
    </row>
    <row r="189" spans="1:12" x14ac:dyDescent="0.25">
      <c r="A189" s="105">
        <v>45277.44027777778</v>
      </c>
      <c r="B189" s="107" t="s">
        <v>1589</v>
      </c>
      <c r="C189" s="99" t="s">
        <v>1587</v>
      </c>
      <c r="D189" s="99" t="s">
        <v>1588</v>
      </c>
      <c r="E189" s="93">
        <v>73.17</v>
      </c>
      <c r="F189" s="94" t="s">
        <v>1543</v>
      </c>
      <c r="G189" s="95" t="s">
        <v>410</v>
      </c>
      <c r="H189" s="94">
        <v>102747032</v>
      </c>
      <c r="I189" s="101">
        <f t="shared" si="8"/>
        <v>45277.44027777778</v>
      </c>
      <c r="J189" s="102">
        <f t="shared" si="9"/>
        <v>12</v>
      </c>
      <c r="K189" s="103">
        <f t="shared" si="10"/>
        <v>17</v>
      </c>
      <c r="L189" s="83">
        <f t="shared" si="11"/>
        <v>10</v>
      </c>
    </row>
    <row r="190" spans="1:12" x14ac:dyDescent="0.25">
      <c r="A190" s="105">
        <v>45277.443055555559</v>
      </c>
      <c r="B190" s="107" t="s">
        <v>1590</v>
      </c>
      <c r="C190" s="99" t="s">
        <v>1564</v>
      </c>
      <c r="D190" s="99" t="s">
        <v>1565</v>
      </c>
      <c r="E190" s="93">
        <v>130</v>
      </c>
      <c r="F190" s="94" t="s">
        <v>1543</v>
      </c>
      <c r="G190" s="95" t="s">
        <v>412</v>
      </c>
      <c r="H190" s="94">
        <v>104493880</v>
      </c>
      <c r="I190" s="101">
        <f t="shared" si="8"/>
        <v>45277.443055555559</v>
      </c>
      <c r="J190" s="102">
        <f t="shared" si="9"/>
        <v>12</v>
      </c>
      <c r="K190" s="103">
        <f t="shared" si="10"/>
        <v>17</v>
      </c>
      <c r="L190" s="83">
        <f t="shared" si="11"/>
        <v>10</v>
      </c>
    </row>
    <row r="191" spans="1:12" x14ac:dyDescent="0.25">
      <c r="A191" s="105">
        <v>45277.561805555553</v>
      </c>
      <c r="B191" s="107" t="s">
        <v>1591</v>
      </c>
      <c r="C191" s="99" t="s">
        <v>1548</v>
      </c>
      <c r="D191" s="99" t="s">
        <v>1549</v>
      </c>
      <c r="E191" s="93">
        <v>82</v>
      </c>
      <c r="F191" s="94" t="s">
        <v>1543</v>
      </c>
      <c r="G191" s="95" t="s">
        <v>414</v>
      </c>
      <c r="H191" s="94">
        <v>104685953</v>
      </c>
      <c r="I191" s="101">
        <f t="shared" si="8"/>
        <v>45277.561805555553</v>
      </c>
      <c r="J191" s="102">
        <f t="shared" si="9"/>
        <v>12</v>
      </c>
      <c r="K191" s="103">
        <f t="shared" si="10"/>
        <v>17</v>
      </c>
      <c r="L191" s="83">
        <f t="shared" si="11"/>
        <v>13</v>
      </c>
    </row>
    <row r="192" spans="1:12" x14ac:dyDescent="0.25">
      <c r="A192" s="105">
        <v>45277.722916666666</v>
      </c>
      <c r="B192" s="107" t="s">
        <v>1592</v>
      </c>
      <c r="C192" s="99" t="s">
        <v>1550</v>
      </c>
      <c r="D192" s="99" t="s">
        <v>1551</v>
      </c>
      <c r="E192" s="93">
        <v>40</v>
      </c>
      <c r="F192" s="94" t="s">
        <v>1543</v>
      </c>
      <c r="G192" s="95" t="s">
        <v>416</v>
      </c>
      <c r="H192" s="94">
        <v>104128299</v>
      </c>
      <c r="I192" s="101">
        <f t="shared" si="8"/>
        <v>45277.722916666666</v>
      </c>
      <c r="J192" s="102">
        <f t="shared" si="9"/>
        <v>12</v>
      </c>
      <c r="K192" s="103">
        <f t="shared" si="10"/>
        <v>17</v>
      </c>
      <c r="L192" s="83">
        <f t="shared" si="11"/>
        <v>17</v>
      </c>
    </row>
    <row r="193" spans="1:12" x14ac:dyDescent="0.25">
      <c r="A193" s="105">
        <v>45277.771527777775</v>
      </c>
      <c r="B193" s="107" t="s">
        <v>1593</v>
      </c>
      <c r="C193" s="99" t="s">
        <v>1562</v>
      </c>
      <c r="D193" s="99" t="s">
        <v>1563</v>
      </c>
      <c r="E193" s="93">
        <v>124</v>
      </c>
      <c r="F193" s="94" t="s">
        <v>1543</v>
      </c>
      <c r="G193" s="95" t="s">
        <v>418</v>
      </c>
      <c r="H193" s="94">
        <v>103327453</v>
      </c>
      <c r="I193" s="101">
        <f t="shared" si="8"/>
        <v>45277.771527777775</v>
      </c>
      <c r="J193" s="102">
        <f t="shared" si="9"/>
        <v>12</v>
      </c>
      <c r="K193" s="103">
        <f t="shared" si="10"/>
        <v>17</v>
      </c>
      <c r="L193" s="83">
        <f t="shared" si="11"/>
        <v>18</v>
      </c>
    </row>
    <row r="194" spans="1:12" x14ac:dyDescent="0.25">
      <c r="A194" s="105">
        <v>45277.620138888888</v>
      </c>
      <c r="B194" s="107" t="s">
        <v>1594</v>
      </c>
      <c r="C194" s="99" t="s">
        <v>1552</v>
      </c>
      <c r="D194" s="99" t="s">
        <v>1553</v>
      </c>
      <c r="E194" s="93">
        <v>32.04</v>
      </c>
      <c r="F194" s="94" t="s">
        <v>1543</v>
      </c>
      <c r="G194" s="95" t="s">
        <v>420</v>
      </c>
      <c r="H194" s="94">
        <v>103723168</v>
      </c>
      <c r="I194" s="101">
        <f t="shared" si="8"/>
        <v>45277.620138888888</v>
      </c>
      <c r="J194" s="102">
        <f t="shared" si="9"/>
        <v>12</v>
      </c>
      <c r="K194" s="103">
        <f t="shared" si="10"/>
        <v>17</v>
      </c>
      <c r="L194" s="83">
        <f t="shared" si="11"/>
        <v>14</v>
      </c>
    </row>
    <row r="195" spans="1:12" x14ac:dyDescent="0.25">
      <c r="A195" s="105">
        <v>45277.700694444444</v>
      </c>
      <c r="B195" s="107" t="s">
        <v>1595</v>
      </c>
      <c r="C195" s="99" t="s">
        <v>1555</v>
      </c>
      <c r="D195" s="99" t="s">
        <v>1556</v>
      </c>
      <c r="E195" s="93">
        <v>65</v>
      </c>
      <c r="F195" s="94" t="s">
        <v>1543</v>
      </c>
      <c r="G195" s="95" t="s">
        <v>422</v>
      </c>
      <c r="H195" s="94">
        <v>105272642</v>
      </c>
      <c r="I195" s="101">
        <f t="shared" ref="I195:I258" si="12">A195</f>
        <v>45277.700694444444</v>
      </c>
      <c r="J195" s="102">
        <f t="shared" ref="J195:J258" si="13">MONTH(A195)</f>
        <v>12</v>
      </c>
      <c r="K195" s="103">
        <f t="shared" ref="K195:K258" si="14">DAY(A195)</f>
        <v>17</v>
      </c>
      <c r="L195" s="83">
        <f t="shared" ref="L195:L258" si="15">HOUR(A195)</f>
        <v>16</v>
      </c>
    </row>
    <row r="196" spans="1:12" x14ac:dyDescent="0.25">
      <c r="A196" s="105">
        <v>45277.465277777781</v>
      </c>
      <c r="B196" s="107" t="s">
        <v>1597</v>
      </c>
      <c r="C196" s="99" t="s">
        <v>1559</v>
      </c>
      <c r="D196" s="99" t="s">
        <v>1560</v>
      </c>
      <c r="E196" s="93">
        <v>200</v>
      </c>
      <c r="F196" s="94" t="s">
        <v>1543</v>
      </c>
      <c r="G196" s="95" t="s">
        <v>424</v>
      </c>
      <c r="H196" s="94">
        <v>102721939</v>
      </c>
      <c r="I196" s="101">
        <f t="shared" si="12"/>
        <v>45277.465277777781</v>
      </c>
      <c r="J196" s="102">
        <f t="shared" si="13"/>
        <v>12</v>
      </c>
      <c r="K196" s="103">
        <f t="shared" si="14"/>
        <v>17</v>
      </c>
      <c r="L196" s="83">
        <f t="shared" si="15"/>
        <v>11</v>
      </c>
    </row>
    <row r="197" spans="1:12" x14ac:dyDescent="0.25">
      <c r="A197" s="105">
        <v>45277.597222222219</v>
      </c>
      <c r="B197" s="107" t="s">
        <v>1547</v>
      </c>
      <c r="C197" s="99" t="s">
        <v>1548</v>
      </c>
      <c r="D197" s="99" t="s">
        <v>1549</v>
      </c>
      <c r="E197" s="93">
        <v>20</v>
      </c>
      <c r="F197" s="94" t="s">
        <v>1544</v>
      </c>
      <c r="G197" s="95" t="s">
        <v>426</v>
      </c>
      <c r="H197" s="94">
        <v>105057101</v>
      </c>
      <c r="I197" s="101">
        <f t="shared" si="12"/>
        <v>45277.597222222219</v>
      </c>
      <c r="J197" s="102">
        <f t="shared" si="13"/>
        <v>12</v>
      </c>
      <c r="K197" s="103">
        <f t="shared" si="14"/>
        <v>17</v>
      </c>
      <c r="L197" s="83">
        <f t="shared" si="15"/>
        <v>14</v>
      </c>
    </row>
    <row r="198" spans="1:12" x14ac:dyDescent="0.25">
      <c r="A198" s="105">
        <v>45277.493750000001</v>
      </c>
      <c r="B198" s="107" t="s">
        <v>1554</v>
      </c>
      <c r="C198" s="99" t="s">
        <v>1566</v>
      </c>
      <c r="D198" s="99" t="s">
        <v>1567</v>
      </c>
      <c r="E198" s="93">
        <v>177.47</v>
      </c>
      <c r="F198" s="94" t="s">
        <v>1543</v>
      </c>
      <c r="G198" s="95" t="s">
        <v>428</v>
      </c>
      <c r="H198" s="94">
        <v>102522270</v>
      </c>
      <c r="I198" s="101">
        <f t="shared" si="12"/>
        <v>45277.493750000001</v>
      </c>
      <c r="J198" s="102">
        <f t="shared" si="13"/>
        <v>12</v>
      </c>
      <c r="K198" s="103">
        <f t="shared" si="14"/>
        <v>17</v>
      </c>
      <c r="L198" s="83">
        <f t="shared" si="15"/>
        <v>11</v>
      </c>
    </row>
    <row r="199" spans="1:12" x14ac:dyDescent="0.25">
      <c r="A199" s="105">
        <v>45277.715277777781</v>
      </c>
      <c r="B199" s="107" t="s">
        <v>1561</v>
      </c>
      <c r="C199" s="99" t="s">
        <v>1564</v>
      </c>
      <c r="D199" s="99" t="s">
        <v>1565</v>
      </c>
      <c r="E199" s="93">
        <v>155</v>
      </c>
      <c r="F199" s="94" t="s">
        <v>1543</v>
      </c>
      <c r="G199" s="95" t="s">
        <v>430</v>
      </c>
      <c r="H199" s="94">
        <v>103891712</v>
      </c>
      <c r="I199" s="101">
        <f t="shared" si="12"/>
        <v>45277.715277777781</v>
      </c>
      <c r="J199" s="102">
        <f t="shared" si="13"/>
        <v>12</v>
      </c>
      <c r="K199" s="103">
        <f t="shared" si="14"/>
        <v>17</v>
      </c>
      <c r="L199" s="83">
        <f t="shared" si="15"/>
        <v>17</v>
      </c>
    </row>
    <row r="200" spans="1:12" x14ac:dyDescent="0.25">
      <c r="A200" s="105">
        <v>45277.60833333333</v>
      </c>
      <c r="B200" s="107" t="s">
        <v>1568</v>
      </c>
      <c r="C200" s="99" t="s">
        <v>1548</v>
      </c>
      <c r="D200" s="99" t="s">
        <v>1549</v>
      </c>
      <c r="E200" s="93">
        <v>78</v>
      </c>
      <c r="F200" s="94" t="s">
        <v>1543</v>
      </c>
      <c r="G200" s="95" t="s">
        <v>433</v>
      </c>
      <c r="H200" s="94">
        <v>101244999</v>
      </c>
      <c r="I200" s="101">
        <f t="shared" si="12"/>
        <v>45277.60833333333</v>
      </c>
      <c r="J200" s="102">
        <f t="shared" si="13"/>
        <v>12</v>
      </c>
      <c r="K200" s="103">
        <f t="shared" si="14"/>
        <v>17</v>
      </c>
      <c r="L200" s="83">
        <f t="shared" si="15"/>
        <v>14</v>
      </c>
    </row>
    <row r="201" spans="1:12" x14ac:dyDescent="0.25">
      <c r="A201" s="105">
        <v>45277.527083333334</v>
      </c>
      <c r="B201" s="107" t="s">
        <v>1575</v>
      </c>
      <c r="C201" s="99" t="s">
        <v>1550</v>
      </c>
      <c r="D201" s="99" t="s">
        <v>1551</v>
      </c>
      <c r="E201" s="93">
        <v>101.71</v>
      </c>
      <c r="F201" s="94" t="s">
        <v>1543</v>
      </c>
      <c r="G201" s="95" t="s">
        <v>435</v>
      </c>
      <c r="H201" s="94">
        <v>104260562</v>
      </c>
      <c r="I201" s="101">
        <f t="shared" si="12"/>
        <v>45277.527083333334</v>
      </c>
      <c r="J201" s="102">
        <f t="shared" si="13"/>
        <v>12</v>
      </c>
      <c r="K201" s="103">
        <f t="shared" si="14"/>
        <v>17</v>
      </c>
      <c r="L201" s="83">
        <f t="shared" si="15"/>
        <v>12</v>
      </c>
    </row>
    <row r="202" spans="1:12" x14ac:dyDescent="0.25">
      <c r="A202" s="105">
        <v>45277.783333333333</v>
      </c>
      <c r="B202" s="107" t="s">
        <v>1582</v>
      </c>
      <c r="C202" s="99" t="s">
        <v>1557</v>
      </c>
      <c r="D202" s="99" t="s">
        <v>1558</v>
      </c>
      <c r="E202" s="93">
        <v>354</v>
      </c>
      <c r="F202" s="94" t="s">
        <v>1543</v>
      </c>
      <c r="G202" s="95" t="s">
        <v>437</v>
      </c>
      <c r="H202" s="94">
        <v>103918843</v>
      </c>
      <c r="I202" s="101">
        <f t="shared" si="12"/>
        <v>45277.783333333333</v>
      </c>
      <c r="J202" s="102">
        <f t="shared" si="13"/>
        <v>12</v>
      </c>
      <c r="K202" s="103">
        <f t="shared" si="14"/>
        <v>17</v>
      </c>
      <c r="L202" s="83">
        <f t="shared" si="15"/>
        <v>18</v>
      </c>
    </row>
    <row r="203" spans="1:12" x14ac:dyDescent="0.25">
      <c r="A203" s="105">
        <v>45277.477083333331</v>
      </c>
      <c r="B203" s="107" t="s">
        <v>1586</v>
      </c>
      <c r="C203" s="99" t="s">
        <v>1562</v>
      </c>
      <c r="D203" s="99" t="s">
        <v>1563</v>
      </c>
      <c r="E203" s="93">
        <v>150</v>
      </c>
      <c r="F203" s="94" t="s">
        <v>1543</v>
      </c>
      <c r="G203" s="95" t="s">
        <v>439</v>
      </c>
      <c r="H203" s="94">
        <v>101485278</v>
      </c>
      <c r="I203" s="101">
        <f t="shared" si="12"/>
        <v>45277.477083333331</v>
      </c>
      <c r="J203" s="102">
        <f t="shared" si="13"/>
        <v>12</v>
      </c>
      <c r="K203" s="103">
        <f t="shared" si="14"/>
        <v>17</v>
      </c>
      <c r="L203" s="83">
        <f t="shared" si="15"/>
        <v>11</v>
      </c>
    </row>
    <row r="204" spans="1:12" x14ac:dyDescent="0.25">
      <c r="A204" s="105">
        <v>45277.686805555553</v>
      </c>
      <c r="B204" s="107" t="s">
        <v>1589</v>
      </c>
      <c r="C204" s="99" t="s">
        <v>1576</v>
      </c>
      <c r="D204" s="99" t="s">
        <v>1577</v>
      </c>
      <c r="E204" s="93">
        <v>106.01</v>
      </c>
      <c r="F204" s="94" t="s">
        <v>1543</v>
      </c>
      <c r="G204" s="95" t="s">
        <v>441</v>
      </c>
      <c r="H204" s="94">
        <v>104917020</v>
      </c>
      <c r="I204" s="101">
        <f t="shared" si="12"/>
        <v>45277.686805555553</v>
      </c>
      <c r="J204" s="102">
        <f t="shared" si="13"/>
        <v>12</v>
      </c>
      <c r="K204" s="103">
        <f t="shared" si="14"/>
        <v>17</v>
      </c>
      <c r="L204" s="83">
        <f t="shared" si="15"/>
        <v>16</v>
      </c>
    </row>
    <row r="205" spans="1:12" x14ac:dyDescent="0.25">
      <c r="A205" s="105">
        <v>45277.538194444445</v>
      </c>
      <c r="B205" s="107" t="s">
        <v>1590</v>
      </c>
      <c r="C205" s="99" t="s">
        <v>1569</v>
      </c>
      <c r="D205" s="99" t="s">
        <v>1570</v>
      </c>
      <c r="E205" s="93">
        <v>60</v>
      </c>
      <c r="F205" s="94" t="s">
        <v>1543</v>
      </c>
      <c r="G205" s="95" t="s">
        <v>443</v>
      </c>
      <c r="H205" s="94">
        <v>104038492</v>
      </c>
      <c r="I205" s="101">
        <f t="shared" si="12"/>
        <v>45277.538194444445</v>
      </c>
      <c r="J205" s="102">
        <f t="shared" si="13"/>
        <v>12</v>
      </c>
      <c r="K205" s="103">
        <f t="shared" si="14"/>
        <v>17</v>
      </c>
      <c r="L205" s="83">
        <f t="shared" si="15"/>
        <v>12</v>
      </c>
    </row>
    <row r="206" spans="1:12" x14ac:dyDescent="0.25">
      <c r="A206" s="105">
        <v>45277.616666666669</v>
      </c>
      <c r="B206" s="107" t="s">
        <v>1591</v>
      </c>
      <c r="C206" s="99" t="s">
        <v>1548</v>
      </c>
      <c r="D206" s="99" t="s">
        <v>1549</v>
      </c>
      <c r="E206" s="93">
        <v>73</v>
      </c>
      <c r="F206" s="94" t="s">
        <v>1543</v>
      </c>
      <c r="G206" s="95" t="s">
        <v>445</v>
      </c>
      <c r="H206" s="94">
        <v>103790747</v>
      </c>
      <c r="I206" s="101">
        <f t="shared" si="12"/>
        <v>45277.616666666669</v>
      </c>
      <c r="J206" s="102">
        <f t="shared" si="13"/>
        <v>12</v>
      </c>
      <c r="K206" s="103">
        <f t="shared" si="14"/>
        <v>17</v>
      </c>
      <c r="L206" s="83">
        <f t="shared" si="15"/>
        <v>14</v>
      </c>
    </row>
    <row r="207" spans="1:12" x14ac:dyDescent="0.25">
      <c r="A207" s="105">
        <v>45277.67083333333</v>
      </c>
      <c r="B207" s="107" t="s">
        <v>1592</v>
      </c>
      <c r="C207" s="99" t="s">
        <v>1559</v>
      </c>
      <c r="D207" s="99" t="s">
        <v>1560</v>
      </c>
      <c r="E207" s="93">
        <v>106.6</v>
      </c>
      <c r="F207" s="94" t="s">
        <v>1543</v>
      </c>
      <c r="G207" s="95" t="s">
        <v>447</v>
      </c>
      <c r="H207" s="94">
        <v>105068724</v>
      </c>
      <c r="I207" s="101">
        <f t="shared" si="12"/>
        <v>45277.67083333333</v>
      </c>
      <c r="J207" s="102">
        <f t="shared" si="13"/>
        <v>12</v>
      </c>
      <c r="K207" s="103">
        <f t="shared" si="14"/>
        <v>17</v>
      </c>
      <c r="L207" s="83">
        <f t="shared" si="15"/>
        <v>16</v>
      </c>
    </row>
    <row r="208" spans="1:12" x14ac:dyDescent="0.25">
      <c r="A208" s="105">
        <v>45277.565972222219</v>
      </c>
      <c r="B208" s="107" t="s">
        <v>1593</v>
      </c>
      <c r="C208" s="99" t="s">
        <v>1571</v>
      </c>
      <c r="D208" s="99" t="s">
        <v>1572</v>
      </c>
      <c r="E208" s="93">
        <v>101.77</v>
      </c>
      <c r="F208" s="94" t="s">
        <v>1544</v>
      </c>
      <c r="G208" s="95" t="s">
        <v>449</v>
      </c>
      <c r="H208" s="94">
        <v>104965801</v>
      </c>
      <c r="I208" s="101">
        <f t="shared" si="12"/>
        <v>45277.565972222219</v>
      </c>
      <c r="J208" s="102">
        <f t="shared" si="13"/>
        <v>12</v>
      </c>
      <c r="K208" s="103">
        <f t="shared" si="14"/>
        <v>17</v>
      </c>
      <c r="L208" s="83">
        <f t="shared" si="15"/>
        <v>13</v>
      </c>
    </row>
    <row r="209" spans="1:12" x14ac:dyDescent="0.25">
      <c r="A209" s="105">
        <v>45277.556944444441</v>
      </c>
      <c r="B209" s="107" t="s">
        <v>1594</v>
      </c>
      <c r="C209" s="99" t="s">
        <v>1550</v>
      </c>
      <c r="D209" s="99" t="s">
        <v>1551</v>
      </c>
      <c r="E209" s="93">
        <v>42.12</v>
      </c>
      <c r="F209" s="94" t="s">
        <v>1543</v>
      </c>
      <c r="G209" s="95" t="s">
        <v>452</v>
      </c>
      <c r="H209" s="94">
        <v>104219681</v>
      </c>
      <c r="I209" s="101">
        <f t="shared" si="12"/>
        <v>45277.556944444441</v>
      </c>
      <c r="J209" s="102">
        <f t="shared" si="13"/>
        <v>12</v>
      </c>
      <c r="K209" s="103">
        <f t="shared" si="14"/>
        <v>17</v>
      </c>
      <c r="L209" s="83">
        <f t="shared" si="15"/>
        <v>13</v>
      </c>
    </row>
    <row r="210" spans="1:12" x14ac:dyDescent="0.25">
      <c r="A210" s="105">
        <v>45277.599999999999</v>
      </c>
      <c r="B210" s="107" t="s">
        <v>1595</v>
      </c>
      <c r="C210" s="99" t="s">
        <v>1557</v>
      </c>
      <c r="D210" s="99" t="s">
        <v>1558</v>
      </c>
      <c r="E210" s="93">
        <v>173.97</v>
      </c>
      <c r="F210" s="94" t="s">
        <v>1543</v>
      </c>
      <c r="G210" s="95" t="s">
        <v>454</v>
      </c>
      <c r="H210" s="94">
        <v>104790059</v>
      </c>
      <c r="I210" s="101">
        <f t="shared" si="12"/>
        <v>45277.599999999999</v>
      </c>
      <c r="J210" s="102">
        <f t="shared" si="13"/>
        <v>12</v>
      </c>
      <c r="K210" s="103">
        <f t="shared" si="14"/>
        <v>17</v>
      </c>
      <c r="L210" s="83">
        <f t="shared" si="15"/>
        <v>14</v>
      </c>
    </row>
    <row r="211" spans="1:12" x14ac:dyDescent="0.25">
      <c r="A211" s="105">
        <v>45277.665972222225</v>
      </c>
      <c r="B211" s="107" t="s">
        <v>1597</v>
      </c>
      <c r="C211" s="99" t="s">
        <v>1555</v>
      </c>
      <c r="D211" s="99" t="s">
        <v>1556</v>
      </c>
      <c r="E211" s="93">
        <v>31.04</v>
      </c>
      <c r="F211" s="94" t="s">
        <v>1543</v>
      </c>
      <c r="G211" s="95" t="s">
        <v>456</v>
      </c>
      <c r="H211" s="94">
        <v>105685439</v>
      </c>
      <c r="I211" s="101">
        <f t="shared" si="12"/>
        <v>45277.665972222225</v>
      </c>
      <c r="J211" s="102">
        <f t="shared" si="13"/>
        <v>12</v>
      </c>
      <c r="K211" s="103">
        <f t="shared" si="14"/>
        <v>17</v>
      </c>
      <c r="L211" s="83">
        <f t="shared" si="15"/>
        <v>15</v>
      </c>
    </row>
    <row r="212" spans="1:12" x14ac:dyDescent="0.25">
      <c r="A212" s="105">
        <v>45277.557638888888</v>
      </c>
      <c r="B212" s="107" t="s">
        <v>1547</v>
      </c>
      <c r="C212" s="99" t="s">
        <v>1548</v>
      </c>
      <c r="D212" s="99" t="s">
        <v>1549</v>
      </c>
      <c r="E212" s="93">
        <v>41</v>
      </c>
      <c r="F212" s="94" t="s">
        <v>1543</v>
      </c>
      <c r="G212" s="95" t="s">
        <v>458</v>
      </c>
      <c r="H212" s="94">
        <v>103003609</v>
      </c>
      <c r="I212" s="101">
        <f t="shared" si="12"/>
        <v>45277.557638888888</v>
      </c>
      <c r="J212" s="102">
        <f t="shared" si="13"/>
        <v>12</v>
      </c>
      <c r="K212" s="103">
        <f t="shared" si="14"/>
        <v>17</v>
      </c>
      <c r="L212" s="83">
        <f t="shared" si="15"/>
        <v>13</v>
      </c>
    </row>
    <row r="213" spans="1:12" x14ac:dyDescent="0.25">
      <c r="A213" s="105">
        <v>44987.536805555559</v>
      </c>
      <c r="B213" s="107" t="s">
        <v>1554</v>
      </c>
      <c r="C213" s="99" t="s">
        <v>1550</v>
      </c>
      <c r="D213" s="99" t="s">
        <v>1551</v>
      </c>
      <c r="E213" s="93">
        <v>25.07</v>
      </c>
      <c r="F213" s="94" t="s">
        <v>1543</v>
      </c>
      <c r="G213" s="95" t="s">
        <v>460</v>
      </c>
      <c r="H213" s="94">
        <v>105715043</v>
      </c>
      <c r="I213" s="101">
        <f t="shared" si="12"/>
        <v>44987.536805555559</v>
      </c>
      <c r="J213" s="102">
        <f t="shared" si="13"/>
        <v>3</v>
      </c>
      <c r="K213" s="103">
        <f t="shared" si="14"/>
        <v>2</v>
      </c>
      <c r="L213" s="83">
        <f t="shared" si="15"/>
        <v>12</v>
      </c>
    </row>
    <row r="214" spans="1:12" x14ac:dyDescent="0.25">
      <c r="A214" s="105">
        <v>44987.457638888889</v>
      </c>
      <c r="B214" s="107" t="s">
        <v>1561</v>
      </c>
      <c r="C214" s="99" t="s">
        <v>1552</v>
      </c>
      <c r="D214" s="99" t="s">
        <v>1553</v>
      </c>
      <c r="E214" s="93">
        <v>55.75</v>
      </c>
      <c r="F214" s="94" t="s">
        <v>1543</v>
      </c>
      <c r="G214" s="95" t="s">
        <v>462</v>
      </c>
      <c r="H214" s="94">
        <v>105028567</v>
      </c>
      <c r="I214" s="101">
        <f t="shared" si="12"/>
        <v>44987.457638888889</v>
      </c>
      <c r="J214" s="102">
        <f t="shared" si="13"/>
        <v>3</v>
      </c>
      <c r="K214" s="103">
        <f t="shared" si="14"/>
        <v>2</v>
      </c>
      <c r="L214" s="83">
        <f t="shared" si="15"/>
        <v>10</v>
      </c>
    </row>
    <row r="215" spans="1:12" x14ac:dyDescent="0.25">
      <c r="A215" s="105">
        <v>44987.788888888892</v>
      </c>
      <c r="B215" s="107" t="s">
        <v>1568</v>
      </c>
      <c r="C215" s="99" t="s">
        <v>1555</v>
      </c>
      <c r="D215" s="99" t="s">
        <v>1556</v>
      </c>
      <c r="E215" s="93">
        <v>110</v>
      </c>
      <c r="F215" s="94" t="s">
        <v>1543</v>
      </c>
      <c r="G215" s="95" t="s">
        <v>464</v>
      </c>
      <c r="H215" s="94">
        <v>103650330</v>
      </c>
      <c r="I215" s="101">
        <f t="shared" si="12"/>
        <v>44987.788888888892</v>
      </c>
      <c r="J215" s="102">
        <f t="shared" si="13"/>
        <v>3</v>
      </c>
      <c r="K215" s="103">
        <f t="shared" si="14"/>
        <v>2</v>
      </c>
      <c r="L215" s="83">
        <f t="shared" si="15"/>
        <v>18</v>
      </c>
    </row>
    <row r="216" spans="1:12" x14ac:dyDescent="0.25">
      <c r="A216" s="105">
        <v>44987.692361111112</v>
      </c>
      <c r="B216" s="107" t="s">
        <v>1575</v>
      </c>
      <c r="C216" s="99" t="s">
        <v>1557</v>
      </c>
      <c r="D216" s="99" t="s">
        <v>1558</v>
      </c>
      <c r="E216" s="93">
        <v>50</v>
      </c>
      <c r="F216" s="94" t="s">
        <v>1543</v>
      </c>
      <c r="G216" s="95" t="s">
        <v>466</v>
      </c>
      <c r="H216" s="94">
        <v>104969853</v>
      </c>
      <c r="I216" s="101">
        <f t="shared" si="12"/>
        <v>44987.692361111112</v>
      </c>
      <c r="J216" s="102">
        <f t="shared" si="13"/>
        <v>3</v>
      </c>
      <c r="K216" s="103">
        <f t="shared" si="14"/>
        <v>2</v>
      </c>
      <c r="L216" s="83">
        <f t="shared" si="15"/>
        <v>16</v>
      </c>
    </row>
    <row r="217" spans="1:12" x14ac:dyDescent="0.25">
      <c r="A217" s="105">
        <v>44987.457638888889</v>
      </c>
      <c r="B217" s="107" t="s">
        <v>1582</v>
      </c>
      <c r="C217" s="99" t="s">
        <v>1559</v>
      </c>
      <c r="D217" s="99" t="s">
        <v>1560</v>
      </c>
      <c r="E217" s="93">
        <v>100</v>
      </c>
      <c r="F217" s="94" t="s">
        <v>1544</v>
      </c>
      <c r="G217" s="95" t="s">
        <v>468</v>
      </c>
      <c r="H217" s="94">
        <v>103693136</v>
      </c>
      <c r="I217" s="101">
        <f t="shared" si="12"/>
        <v>44987.457638888889</v>
      </c>
      <c r="J217" s="102">
        <f t="shared" si="13"/>
        <v>3</v>
      </c>
      <c r="K217" s="103">
        <f t="shared" si="14"/>
        <v>2</v>
      </c>
      <c r="L217" s="83">
        <f t="shared" si="15"/>
        <v>10</v>
      </c>
    </row>
    <row r="218" spans="1:12" x14ac:dyDescent="0.25">
      <c r="A218" s="105">
        <v>44987.484027777777</v>
      </c>
      <c r="B218" s="107" t="s">
        <v>1586</v>
      </c>
      <c r="C218" s="99" t="s">
        <v>1562</v>
      </c>
      <c r="D218" s="99" t="s">
        <v>1563</v>
      </c>
      <c r="E218" s="93">
        <v>23.56</v>
      </c>
      <c r="F218" s="94" t="s">
        <v>1543</v>
      </c>
      <c r="G218" s="95" t="s">
        <v>470</v>
      </c>
      <c r="H218" s="94">
        <v>105583812</v>
      </c>
      <c r="I218" s="101">
        <f t="shared" si="12"/>
        <v>44987.484027777777</v>
      </c>
      <c r="J218" s="102">
        <f t="shared" si="13"/>
        <v>3</v>
      </c>
      <c r="K218" s="103">
        <f t="shared" si="14"/>
        <v>2</v>
      </c>
      <c r="L218" s="83">
        <f t="shared" si="15"/>
        <v>11</v>
      </c>
    </row>
    <row r="219" spans="1:12" x14ac:dyDescent="0.25">
      <c r="A219" s="105">
        <v>44987.574305555558</v>
      </c>
      <c r="B219" s="107" t="s">
        <v>1589</v>
      </c>
      <c r="C219" s="99" t="s">
        <v>1564</v>
      </c>
      <c r="D219" s="99" t="s">
        <v>1565</v>
      </c>
      <c r="E219" s="93">
        <v>182</v>
      </c>
      <c r="F219" s="94" t="s">
        <v>1543</v>
      </c>
      <c r="G219" s="95" t="s">
        <v>472</v>
      </c>
      <c r="H219" s="94">
        <v>105246796</v>
      </c>
      <c r="I219" s="101">
        <f t="shared" si="12"/>
        <v>44987.574305555558</v>
      </c>
      <c r="J219" s="102">
        <f t="shared" si="13"/>
        <v>3</v>
      </c>
      <c r="K219" s="103">
        <f t="shared" si="14"/>
        <v>2</v>
      </c>
      <c r="L219" s="83">
        <f t="shared" si="15"/>
        <v>13</v>
      </c>
    </row>
    <row r="220" spans="1:12" x14ac:dyDescent="0.25">
      <c r="A220" s="105">
        <v>44987.609027777777</v>
      </c>
      <c r="B220" s="107" t="s">
        <v>1590</v>
      </c>
      <c r="C220" s="99" t="s">
        <v>1566</v>
      </c>
      <c r="D220" s="99" t="s">
        <v>1567</v>
      </c>
      <c r="E220" s="93">
        <v>147</v>
      </c>
      <c r="F220" s="94" t="s">
        <v>1544</v>
      </c>
      <c r="G220" s="95" t="s">
        <v>475</v>
      </c>
      <c r="H220" s="94">
        <v>105236970</v>
      </c>
      <c r="I220" s="101">
        <f t="shared" si="12"/>
        <v>44987.609027777777</v>
      </c>
      <c r="J220" s="102">
        <f t="shared" si="13"/>
        <v>3</v>
      </c>
      <c r="K220" s="103">
        <f t="shared" si="14"/>
        <v>2</v>
      </c>
      <c r="L220" s="83">
        <f t="shared" si="15"/>
        <v>14</v>
      </c>
    </row>
    <row r="221" spans="1:12" x14ac:dyDescent="0.25">
      <c r="A221" s="105">
        <v>44987.677083333336</v>
      </c>
      <c r="B221" s="107" t="s">
        <v>1591</v>
      </c>
      <c r="C221" s="99" t="s">
        <v>1569</v>
      </c>
      <c r="D221" s="99" t="s">
        <v>1570</v>
      </c>
      <c r="E221" s="93">
        <v>100</v>
      </c>
      <c r="F221" s="94" t="s">
        <v>1543</v>
      </c>
      <c r="G221" s="95" t="s">
        <v>477</v>
      </c>
      <c r="H221" s="94">
        <v>105282726</v>
      </c>
      <c r="I221" s="101">
        <f t="shared" si="12"/>
        <v>44987.677083333336</v>
      </c>
      <c r="J221" s="102">
        <f t="shared" si="13"/>
        <v>3</v>
      </c>
      <c r="K221" s="103">
        <f t="shared" si="14"/>
        <v>2</v>
      </c>
      <c r="L221" s="83">
        <f t="shared" si="15"/>
        <v>16</v>
      </c>
    </row>
    <row r="222" spans="1:12" x14ac:dyDescent="0.25">
      <c r="A222" s="105">
        <v>44987.745138888888</v>
      </c>
      <c r="B222" s="107" t="s">
        <v>1592</v>
      </c>
      <c r="C222" s="99" t="s">
        <v>1571</v>
      </c>
      <c r="D222" s="99" t="s">
        <v>1572</v>
      </c>
      <c r="E222" s="93">
        <v>40</v>
      </c>
      <c r="F222" s="94" t="s">
        <v>1543</v>
      </c>
      <c r="G222" s="95" t="s">
        <v>479</v>
      </c>
      <c r="H222" s="94">
        <v>102788640</v>
      </c>
      <c r="I222" s="101">
        <f t="shared" si="12"/>
        <v>44987.745138888888</v>
      </c>
      <c r="J222" s="102">
        <f t="shared" si="13"/>
        <v>3</v>
      </c>
      <c r="K222" s="103">
        <f t="shared" si="14"/>
        <v>2</v>
      </c>
      <c r="L222" s="83">
        <f t="shared" si="15"/>
        <v>17</v>
      </c>
    </row>
    <row r="223" spans="1:12" x14ac:dyDescent="0.25">
      <c r="A223" s="105">
        <v>44987.436805555553</v>
      </c>
      <c r="B223" s="107" t="s">
        <v>1593</v>
      </c>
      <c r="C223" s="99" t="s">
        <v>1573</v>
      </c>
      <c r="D223" s="99" t="s">
        <v>1574</v>
      </c>
      <c r="E223" s="93">
        <v>159.38</v>
      </c>
      <c r="F223" s="94" t="s">
        <v>1543</v>
      </c>
      <c r="G223" s="95" t="s">
        <v>481</v>
      </c>
      <c r="H223" s="94">
        <v>100774606</v>
      </c>
      <c r="I223" s="101">
        <f t="shared" si="12"/>
        <v>44987.436805555553</v>
      </c>
      <c r="J223" s="102">
        <f t="shared" si="13"/>
        <v>3</v>
      </c>
      <c r="K223" s="103">
        <f t="shared" si="14"/>
        <v>2</v>
      </c>
      <c r="L223" s="83">
        <f t="shared" si="15"/>
        <v>10</v>
      </c>
    </row>
    <row r="224" spans="1:12" x14ac:dyDescent="0.25">
      <c r="A224" s="105">
        <v>44987.442361111112</v>
      </c>
      <c r="B224" s="107" t="s">
        <v>1594</v>
      </c>
      <c r="C224" s="99" t="s">
        <v>1576</v>
      </c>
      <c r="D224" s="99" t="s">
        <v>1577</v>
      </c>
      <c r="E224" s="93">
        <v>13</v>
      </c>
      <c r="F224" s="94" t="s">
        <v>1543</v>
      </c>
      <c r="G224" s="95" t="s">
        <v>483</v>
      </c>
      <c r="H224" s="94">
        <v>104493880</v>
      </c>
      <c r="I224" s="101">
        <f t="shared" si="12"/>
        <v>44987.442361111112</v>
      </c>
      <c r="J224" s="102">
        <f t="shared" si="13"/>
        <v>3</v>
      </c>
      <c r="K224" s="103">
        <f t="shared" si="14"/>
        <v>2</v>
      </c>
      <c r="L224" s="83">
        <f t="shared" si="15"/>
        <v>10</v>
      </c>
    </row>
    <row r="225" spans="1:12" x14ac:dyDescent="0.25">
      <c r="A225" s="105">
        <v>44987.506944444445</v>
      </c>
      <c r="B225" s="107" t="s">
        <v>1595</v>
      </c>
      <c r="C225" s="99" t="s">
        <v>1578</v>
      </c>
      <c r="D225" s="99" t="s">
        <v>1579</v>
      </c>
      <c r="E225" s="93">
        <v>126</v>
      </c>
      <c r="F225" s="94" t="s">
        <v>1543</v>
      </c>
      <c r="G225" s="95" t="s">
        <v>485</v>
      </c>
      <c r="H225" s="94">
        <v>104888845</v>
      </c>
      <c r="I225" s="101">
        <f t="shared" si="12"/>
        <v>44987.506944444445</v>
      </c>
      <c r="J225" s="102">
        <f t="shared" si="13"/>
        <v>3</v>
      </c>
      <c r="K225" s="103">
        <f t="shared" si="14"/>
        <v>2</v>
      </c>
      <c r="L225" s="83">
        <f t="shared" si="15"/>
        <v>12</v>
      </c>
    </row>
    <row r="226" spans="1:12" x14ac:dyDescent="0.25">
      <c r="A226" s="105">
        <v>44987.720833333333</v>
      </c>
      <c r="B226" s="107" t="s">
        <v>1597</v>
      </c>
      <c r="C226" s="99" t="s">
        <v>1580</v>
      </c>
      <c r="D226" s="99" t="s">
        <v>1581</v>
      </c>
      <c r="E226" s="93">
        <v>254.43</v>
      </c>
      <c r="F226" s="94" t="s">
        <v>1544</v>
      </c>
      <c r="G226" s="95" t="s">
        <v>487</v>
      </c>
      <c r="H226" s="94">
        <v>103754652</v>
      </c>
      <c r="I226" s="101">
        <f t="shared" si="12"/>
        <v>44987.720833333333</v>
      </c>
      <c r="J226" s="102">
        <f t="shared" si="13"/>
        <v>3</v>
      </c>
      <c r="K226" s="103">
        <f t="shared" si="14"/>
        <v>2</v>
      </c>
      <c r="L226" s="83">
        <f t="shared" si="15"/>
        <v>17</v>
      </c>
    </row>
    <row r="227" spans="1:12" x14ac:dyDescent="0.25">
      <c r="A227" s="105">
        <v>44987.501388888886</v>
      </c>
      <c r="B227" s="107" t="s">
        <v>1547</v>
      </c>
      <c r="C227" s="99" t="s">
        <v>1548</v>
      </c>
      <c r="D227" s="99" t="s">
        <v>1549</v>
      </c>
      <c r="E227" s="93">
        <v>70</v>
      </c>
      <c r="F227" s="94" t="s">
        <v>1543</v>
      </c>
      <c r="G227" s="95" t="s">
        <v>489</v>
      </c>
      <c r="H227" s="94">
        <v>102004822</v>
      </c>
      <c r="I227" s="101">
        <f t="shared" si="12"/>
        <v>44987.501388888886</v>
      </c>
      <c r="J227" s="102">
        <f t="shared" si="13"/>
        <v>3</v>
      </c>
      <c r="K227" s="103">
        <f t="shared" si="14"/>
        <v>2</v>
      </c>
      <c r="L227" s="83">
        <f t="shared" si="15"/>
        <v>12</v>
      </c>
    </row>
    <row r="228" spans="1:12" x14ac:dyDescent="0.25">
      <c r="A228" s="105">
        <v>44987.440972222219</v>
      </c>
      <c r="B228" s="107" t="s">
        <v>1554</v>
      </c>
      <c r="C228" s="99" t="s">
        <v>1583</v>
      </c>
      <c r="D228" s="99" t="s">
        <v>1574</v>
      </c>
      <c r="E228" s="93">
        <v>59.81</v>
      </c>
      <c r="F228" s="94" t="s">
        <v>1544</v>
      </c>
      <c r="G228" s="95" t="s">
        <v>491</v>
      </c>
      <c r="H228" s="94">
        <v>103453189</v>
      </c>
      <c r="I228" s="101">
        <f t="shared" si="12"/>
        <v>44987.440972222219</v>
      </c>
      <c r="J228" s="102">
        <f t="shared" si="13"/>
        <v>3</v>
      </c>
      <c r="K228" s="103">
        <f t="shared" si="14"/>
        <v>2</v>
      </c>
      <c r="L228" s="83">
        <f t="shared" si="15"/>
        <v>10</v>
      </c>
    </row>
    <row r="229" spans="1:12" x14ac:dyDescent="0.25">
      <c r="A229" s="105">
        <v>44987.447916666664</v>
      </c>
      <c r="B229" s="107" t="s">
        <v>1561</v>
      </c>
      <c r="C229" s="99" t="s">
        <v>1584</v>
      </c>
      <c r="D229" s="99" t="s">
        <v>1585</v>
      </c>
      <c r="E229" s="93">
        <v>94</v>
      </c>
      <c r="F229" s="94" t="s">
        <v>1543</v>
      </c>
      <c r="G229" s="95" t="s">
        <v>493</v>
      </c>
      <c r="H229" s="94">
        <v>104521840</v>
      </c>
      <c r="I229" s="101">
        <f t="shared" si="12"/>
        <v>44987.447916666664</v>
      </c>
      <c r="J229" s="102">
        <f t="shared" si="13"/>
        <v>3</v>
      </c>
      <c r="K229" s="103">
        <f t="shared" si="14"/>
        <v>2</v>
      </c>
      <c r="L229" s="83">
        <f t="shared" si="15"/>
        <v>10</v>
      </c>
    </row>
    <row r="230" spans="1:12" x14ac:dyDescent="0.25">
      <c r="A230" s="105">
        <v>44987.515277777777</v>
      </c>
      <c r="B230" s="107" t="s">
        <v>1568</v>
      </c>
      <c r="C230" s="99" t="s">
        <v>1557</v>
      </c>
      <c r="D230" s="99" t="s">
        <v>1558</v>
      </c>
      <c r="E230" s="93">
        <v>160</v>
      </c>
      <c r="F230" s="94" t="s">
        <v>1543</v>
      </c>
      <c r="G230" s="95" t="s">
        <v>495</v>
      </c>
      <c r="H230" s="94">
        <v>103160872</v>
      </c>
      <c r="I230" s="101">
        <f t="shared" si="12"/>
        <v>44987.515277777777</v>
      </c>
      <c r="J230" s="102">
        <f t="shared" si="13"/>
        <v>3</v>
      </c>
      <c r="K230" s="103">
        <f t="shared" si="14"/>
        <v>2</v>
      </c>
      <c r="L230" s="83">
        <f t="shared" si="15"/>
        <v>12</v>
      </c>
    </row>
    <row r="231" spans="1:12" x14ac:dyDescent="0.25">
      <c r="A231" s="105">
        <v>44987.775694444441</v>
      </c>
      <c r="B231" s="107" t="s">
        <v>1575</v>
      </c>
      <c r="C231" s="99" t="s">
        <v>1587</v>
      </c>
      <c r="D231" s="99" t="s">
        <v>1588</v>
      </c>
      <c r="E231" s="93">
        <v>88</v>
      </c>
      <c r="F231" s="94" t="s">
        <v>1543</v>
      </c>
      <c r="G231" s="95" t="s">
        <v>498</v>
      </c>
      <c r="H231" s="94">
        <v>105624641</v>
      </c>
      <c r="I231" s="101">
        <f t="shared" si="12"/>
        <v>44987.775694444441</v>
      </c>
      <c r="J231" s="102">
        <f t="shared" si="13"/>
        <v>3</v>
      </c>
      <c r="K231" s="103">
        <f t="shared" si="14"/>
        <v>2</v>
      </c>
      <c r="L231" s="83">
        <f t="shared" si="15"/>
        <v>18</v>
      </c>
    </row>
    <row r="232" spans="1:12" x14ac:dyDescent="0.25">
      <c r="A232" s="105">
        <v>44987.47152777778</v>
      </c>
      <c r="B232" s="107" t="s">
        <v>1582</v>
      </c>
      <c r="C232" s="99" t="s">
        <v>1564</v>
      </c>
      <c r="D232" s="99" t="s">
        <v>1565</v>
      </c>
      <c r="E232" s="93">
        <v>54.38</v>
      </c>
      <c r="F232" s="94" t="s">
        <v>1543</v>
      </c>
      <c r="G232" s="95" t="s">
        <v>500</v>
      </c>
      <c r="H232" s="94">
        <v>103593211</v>
      </c>
      <c r="I232" s="101">
        <f t="shared" si="12"/>
        <v>44987.47152777778</v>
      </c>
      <c r="J232" s="102">
        <f t="shared" si="13"/>
        <v>3</v>
      </c>
      <c r="K232" s="103">
        <f t="shared" si="14"/>
        <v>2</v>
      </c>
      <c r="L232" s="83">
        <f t="shared" si="15"/>
        <v>11</v>
      </c>
    </row>
    <row r="233" spans="1:12" x14ac:dyDescent="0.25">
      <c r="A233" s="105">
        <v>44987.446527777778</v>
      </c>
      <c r="B233" s="107" t="s">
        <v>1586</v>
      </c>
      <c r="C233" s="99" t="s">
        <v>1548</v>
      </c>
      <c r="D233" s="99" t="s">
        <v>1549</v>
      </c>
      <c r="E233" s="93">
        <v>83</v>
      </c>
      <c r="F233" s="94" t="s">
        <v>1543</v>
      </c>
      <c r="G233" s="95" t="s">
        <v>502</v>
      </c>
      <c r="H233" s="94">
        <v>105585542</v>
      </c>
      <c r="I233" s="101">
        <f t="shared" si="12"/>
        <v>44987.446527777778</v>
      </c>
      <c r="J233" s="102">
        <f t="shared" si="13"/>
        <v>3</v>
      </c>
      <c r="K233" s="103">
        <f t="shared" si="14"/>
        <v>2</v>
      </c>
      <c r="L233" s="83">
        <f t="shared" si="15"/>
        <v>10</v>
      </c>
    </row>
    <row r="234" spans="1:12" x14ac:dyDescent="0.25">
      <c r="A234" s="105">
        <v>44987.71875</v>
      </c>
      <c r="B234" s="107" t="s">
        <v>1589</v>
      </c>
      <c r="C234" s="99" t="s">
        <v>1550</v>
      </c>
      <c r="D234" s="99" t="s">
        <v>1551</v>
      </c>
      <c r="E234" s="93">
        <v>55</v>
      </c>
      <c r="F234" s="94" t="s">
        <v>1543</v>
      </c>
      <c r="G234" s="95" t="s">
        <v>504</v>
      </c>
      <c r="H234" s="94">
        <v>104328491</v>
      </c>
      <c r="I234" s="101">
        <f t="shared" si="12"/>
        <v>44987.71875</v>
      </c>
      <c r="J234" s="102">
        <f t="shared" si="13"/>
        <v>3</v>
      </c>
      <c r="K234" s="103">
        <f t="shared" si="14"/>
        <v>2</v>
      </c>
      <c r="L234" s="83">
        <f t="shared" si="15"/>
        <v>17</v>
      </c>
    </row>
    <row r="235" spans="1:12" x14ac:dyDescent="0.25">
      <c r="A235" s="105">
        <v>44987.64166666667</v>
      </c>
      <c r="B235" s="107" t="s">
        <v>1590</v>
      </c>
      <c r="C235" s="99" t="s">
        <v>1562</v>
      </c>
      <c r="D235" s="99" t="s">
        <v>1563</v>
      </c>
      <c r="E235" s="93">
        <v>84.94</v>
      </c>
      <c r="F235" s="94" t="s">
        <v>1543</v>
      </c>
      <c r="G235" s="95" t="s">
        <v>506</v>
      </c>
      <c r="H235" s="94">
        <v>104987411</v>
      </c>
      <c r="I235" s="101">
        <f t="shared" si="12"/>
        <v>44987.64166666667</v>
      </c>
      <c r="J235" s="102">
        <f t="shared" si="13"/>
        <v>3</v>
      </c>
      <c r="K235" s="103">
        <f t="shared" si="14"/>
        <v>2</v>
      </c>
      <c r="L235" s="83">
        <f t="shared" si="15"/>
        <v>15</v>
      </c>
    </row>
    <row r="236" spans="1:12" x14ac:dyDescent="0.25">
      <c r="A236" s="105">
        <v>44987.789583333331</v>
      </c>
      <c r="B236" s="107" t="s">
        <v>1591</v>
      </c>
      <c r="C236" s="99" t="s">
        <v>1552</v>
      </c>
      <c r="D236" s="99" t="s">
        <v>1553</v>
      </c>
      <c r="E236" s="93">
        <v>250</v>
      </c>
      <c r="F236" s="94" t="s">
        <v>1543</v>
      </c>
      <c r="G236" s="95" t="s">
        <v>508</v>
      </c>
      <c r="H236" s="94">
        <v>104604595</v>
      </c>
      <c r="I236" s="101">
        <f t="shared" si="12"/>
        <v>44987.789583333331</v>
      </c>
      <c r="J236" s="102">
        <f t="shared" si="13"/>
        <v>3</v>
      </c>
      <c r="K236" s="103">
        <f t="shared" si="14"/>
        <v>2</v>
      </c>
      <c r="L236" s="83">
        <f t="shared" si="15"/>
        <v>18</v>
      </c>
    </row>
    <row r="237" spans="1:12" x14ac:dyDescent="0.25">
      <c r="A237" s="105">
        <v>44987.648611111108</v>
      </c>
      <c r="B237" s="107" t="s">
        <v>1592</v>
      </c>
      <c r="C237" s="99" t="s">
        <v>1555</v>
      </c>
      <c r="D237" s="99" t="s">
        <v>1556</v>
      </c>
      <c r="E237" s="93">
        <v>80.87</v>
      </c>
      <c r="F237" s="94" t="s">
        <v>1543</v>
      </c>
      <c r="G237" s="95" t="s">
        <v>510</v>
      </c>
      <c r="H237" s="94">
        <v>100154578</v>
      </c>
      <c r="I237" s="101">
        <f t="shared" si="12"/>
        <v>44987.648611111108</v>
      </c>
      <c r="J237" s="102">
        <f t="shared" si="13"/>
        <v>3</v>
      </c>
      <c r="K237" s="103">
        <f t="shared" si="14"/>
        <v>2</v>
      </c>
      <c r="L237" s="83">
        <f t="shared" si="15"/>
        <v>15</v>
      </c>
    </row>
    <row r="238" spans="1:12" x14ac:dyDescent="0.25">
      <c r="A238" s="105">
        <v>44987.497916666667</v>
      </c>
      <c r="B238" s="107" t="s">
        <v>1593</v>
      </c>
      <c r="C238" s="99" t="s">
        <v>1559</v>
      </c>
      <c r="D238" s="99" t="s">
        <v>1560</v>
      </c>
      <c r="E238" s="93">
        <v>105</v>
      </c>
      <c r="F238" s="94" t="s">
        <v>1543</v>
      </c>
      <c r="G238" s="95" t="s">
        <v>512</v>
      </c>
      <c r="H238" s="94">
        <v>104637144</v>
      </c>
      <c r="I238" s="101">
        <f t="shared" si="12"/>
        <v>44987.497916666667</v>
      </c>
      <c r="J238" s="102">
        <f t="shared" si="13"/>
        <v>3</v>
      </c>
      <c r="K238" s="103">
        <f t="shared" si="14"/>
        <v>2</v>
      </c>
      <c r="L238" s="83">
        <f t="shared" si="15"/>
        <v>11</v>
      </c>
    </row>
    <row r="239" spans="1:12" x14ac:dyDescent="0.25">
      <c r="A239" s="105">
        <v>44987.451388888891</v>
      </c>
      <c r="B239" s="107" t="s">
        <v>1594</v>
      </c>
      <c r="C239" s="99" t="s">
        <v>1548</v>
      </c>
      <c r="D239" s="99" t="s">
        <v>1549</v>
      </c>
      <c r="E239" s="93">
        <v>123</v>
      </c>
      <c r="F239" s="94" t="s">
        <v>1543</v>
      </c>
      <c r="G239" s="95" t="s">
        <v>514</v>
      </c>
      <c r="H239" s="94">
        <v>102794775</v>
      </c>
      <c r="I239" s="101">
        <f t="shared" si="12"/>
        <v>44987.451388888891</v>
      </c>
      <c r="J239" s="102">
        <f t="shared" si="13"/>
        <v>3</v>
      </c>
      <c r="K239" s="103">
        <f t="shared" si="14"/>
        <v>2</v>
      </c>
      <c r="L239" s="83">
        <f t="shared" si="15"/>
        <v>10</v>
      </c>
    </row>
    <row r="240" spans="1:12" x14ac:dyDescent="0.25">
      <c r="A240" s="105">
        <v>44987.49722222222</v>
      </c>
      <c r="B240" s="107" t="s">
        <v>1595</v>
      </c>
      <c r="C240" s="99" t="s">
        <v>1566</v>
      </c>
      <c r="D240" s="99" t="s">
        <v>1567</v>
      </c>
      <c r="E240" s="93">
        <v>25.71</v>
      </c>
      <c r="F240" s="94" t="s">
        <v>1543</v>
      </c>
      <c r="G240" s="95" t="s">
        <v>516</v>
      </c>
      <c r="H240" s="94">
        <v>105559625</v>
      </c>
      <c r="I240" s="101">
        <f t="shared" si="12"/>
        <v>44987.49722222222</v>
      </c>
      <c r="J240" s="102">
        <f t="shared" si="13"/>
        <v>3</v>
      </c>
      <c r="K240" s="103">
        <f t="shared" si="14"/>
        <v>2</v>
      </c>
      <c r="L240" s="83">
        <f t="shared" si="15"/>
        <v>11</v>
      </c>
    </row>
    <row r="241" spans="1:12" x14ac:dyDescent="0.25">
      <c r="A241" s="105">
        <v>44987.459722222222</v>
      </c>
      <c r="B241" s="107" t="s">
        <v>1597</v>
      </c>
      <c r="C241" s="99" t="s">
        <v>1564</v>
      </c>
      <c r="D241" s="99" t="s">
        <v>1565</v>
      </c>
      <c r="E241" s="93">
        <v>109</v>
      </c>
      <c r="F241" s="94" t="s">
        <v>1543</v>
      </c>
      <c r="G241" s="95" t="s">
        <v>518</v>
      </c>
      <c r="H241" s="94">
        <v>105483927</v>
      </c>
      <c r="I241" s="101">
        <f t="shared" si="12"/>
        <v>44987.459722222222</v>
      </c>
      <c r="J241" s="102">
        <f t="shared" si="13"/>
        <v>3</v>
      </c>
      <c r="K241" s="103">
        <f t="shared" si="14"/>
        <v>2</v>
      </c>
      <c r="L241" s="83">
        <f t="shared" si="15"/>
        <v>11</v>
      </c>
    </row>
    <row r="242" spans="1:12" x14ac:dyDescent="0.25">
      <c r="A242" s="105">
        <v>44987.480555555558</v>
      </c>
      <c r="B242" s="107" t="s">
        <v>1547</v>
      </c>
      <c r="C242" s="99" t="s">
        <v>1548</v>
      </c>
      <c r="D242" s="99" t="s">
        <v>1549</v>
      </c>
      <c r="E242" s="93">
        <v>565.23</v>
      </c>
      <c r="F242" s="94" t="s">
        <v>1543</v>
      </c>
      <c r="G242" s="95" t="s">
        <v>520</v>
      </c>
      <c r="H242" s="94">
        <v>103096781</v>
      </c>
      <c r="I242" s="101">
        <f t="shared" si="12"/>
        <v>44987.480555555558</v>
      </c>
      <c r="J242" s="102">
        <f t="shared" si="13"/>
        <v>3</v>
      </c>
      <c r="K242" s="103">
        <f t="shared" si="14"/>
        <v>2</v>
      </c>
      <c r="L242" s="83">
        <f t="shared" si="15"/>
        <v>11</v>
      </c>
    </row>
    <row r="243" spans="1:12" x14ac:dyDescent="0.25">
      <c r="A243" s="105">
        <v>44987.456944444442</v>
      </c>
      <c r="B243" s="107" t="s">
        <v>1554</v>
      </c>
      <c r="C243" s="99" t="s">
        <v>1550</v>
      </c>
      <c r="D243" s="99" t="s">
        <v>1551</v>
      </c>
      <c r="E243" s="93">
        <v>117.91</v>
      </c>
      <c r="F243" s="94" t="s">
        <v>1543</v>
      </c>
      <c r="G243" s="95" t="s">
        <v>522</v>
      </c>
      <c r="H243" s="94">
        <v>104908676</v>
      </c>
      <c r="I243" s="101">
        <f t="shared" si="12"/>
        <v>44987.456944444442</v>
      </c>
      <c r="J243" s="102">
        <f t="shared" si="13"/>
        <v>3</v>
      </c>
      <c r="K243" s="103">
        <f t="shared" si="14"/>
        <v>2</v>
      </c>
      <c r="L243" s="83">
        <f t="shared" si="15"/>
        <v>10</v>
      </c>
    </row>
    <row r="244" spans="1:12" x14ac:dyDescent="0.25">
      <c r="A244" s="105">
        <v>44987.435416666667</v>
      </c>
      <c r="B244" s="107" t="s">
        <v>1561</v>
      </c>
      <c r="C244" s="99" t="s">
        <v>1557</v>
      </c>
      <c r="D244" s="99" t="s">
        <v>1558</v>
      </c>
      <c r="E244" s="93">
        <v>73.06</v>
      </c>
      <c r="F244" s="94" t="s">
        <v>1543</v>
      </c>
      <c r="G244" s="95" t="s">
        <v>525</v>
      </c>
      <c r="H244" s="94">
        <v>105563778</v>
      </c>
      <c r="I244" s="101">
        <f t="shared" si="12"/>
        <v>44987.435416666667</v>
      </c>
      <c r="J244" s="102">
        <f t="shared" si="13"/>
        <v>3</v>
      </c>
      <c r="K244" s="103">
        <f t="shared" si="14"/>
        <v>2</v>
      </c>
      <c r="L244" s="83">
        <f t="shared" si="15"/>
        <v>10</v>
      </c>
    </row>
    <row r="245" spans="1:12" x14ac:dyDescent="0.25">
      <c r="A245" s="105">
        <v>44987.674305555556</v>
      </c>
      <c r="B245" s="107" t="s">
        <v>1568</v>
      </c>
      <c r="C245" s="99" t="s">
        <v>1562</v>
      </c>
      <c r="D245" s="99" t="s">
        <v>1563</v>
      </c>
      <c r="E245" s="93">
        <v>55.98</v>
      </c>
      <c r="F245" s="94" t="s">
        <v>1543</v>
      </c>
      <c r="G245" s="95" t="s">
        <v>527</v>
      </c>
      <c r="H245" s="94">
        <v>105395153</v>
      </c>
      <c r="I245" s="101">
        <f t="shared" si="12"/>
        <v>44987.674305555556</v>
      </c>
      <c r="J245" s="102">
        <f t="shared" si="13"/>
        <v>3</v>
      </c>
      <c r="K245" s="103">
        <f t="shared" si="14"/>
        <v>2</v>
      </c>
      <c r="L245" s="83">
        <f t="shared" si="15"/>
        <v>16</v>
      </c>
    </row>
    <row r="246" spans="1:12" x14ac:dyDescent="0.25">
      <c r="A246" s="105">
        <v>44987.588194444441</v>
      </c>
      <c r="B246" s="107" t="s">
        <v>1575</v>
      </c>
      <c r="C246" s="99" t="s">
        <v>1576</v>
      </c>
      <c r="D246" s="99" t="s">
        <v>1577</v>
      </c>
      <c r="E246" s="93">
        <v>50</v>
      </c>
      <c r="F246" s="94" t="s">
        <v>1543</v>
      </c>
      <c r="G246" s="95" t="s">
        <v>529</v>
      </c>
      <c r="H246" s="94">
        <v>105030994</v>
      </c>
      <c r="I246" s="101">
        <f t="shared" si="12"/>
        <v>44987.588194444441</v>
      </c>
      <c r="J246" s="102">
        <f t="shared" si="13"/>
        <v>3</v>
      </c>
      <c r="K246" s="103">
        <f t="shared" si="14"/>
        <v>2</v>
      </c>
      <c r="L246" s="83">
        <f t="shared" si="15"/>
        <v>14</v>
      </c>
    </row>
    <row r="247" spans="1:12" x14ac:dyDescent="0.25">
      <c r="A247" s="105">
        <v>44987.474305555559</v>
      </c>
      <c r="B247" s="107" t="s">
        <v>1582</v>
      </c>
      <c r="C247" s="99" t="s">
        <v>1569</v>
      </c>
      <c r="D247" s="99" t="s">
        <v>1570</v>
      </c>
      <c r="E247" s="93">
        <v>14.92</v>
      </c>
      <c r="F247" s="94" t="s">
        <v>1543</v>
      </c>
      <c r="G247" s="95" t="s">
        <v>531</v>
      </c>
      <c r="H247" s="94">
        <v>105705054</v>
      </c>
      <c r="I247" s="101">
        <f t="shared" si="12"/>
        <v>44987.474305555559</v>
      </c>
      <c r="J247" s="102">
        <f t="shared" si="13"/>
        <v>3</v>
      </c>
      <c r="K247" s="103">
        <f t="shared" si="14"/>
        <v>2</v>
      </c>
      <c r="L247" s="83">
        <f t="shared" si="15"/>
        <v>11</v>
      </c>
    </row>
    <row r="248" spans="1:12" x14ac:dyDescent="0.25">
      <c r="A248" s="105">
        <v>44987.685416666667</v>
      </c>
      <c r="B248" s="107" t="s">
        <v>1586</v>
      </c>
      <c r="C248" s="99" t="s">
        <v>1548</v>
      </c>
      <c r="D248" s="99" t="s">
        <v>1549</v>
      </c>
      <c r="E248" s="93">
        <v>225.6</v>
      </c>
      <c r="F248" s="94" t="s">
        <v>1544</v>
      </c>
      <c r="G248" s="95" t="s">
        <v>533</v>
      </c>
      <c r="H248" s="94">
        <v>105325489</v>
      </c>
      <c r="I248" s="101">
        <f t="shared" si="12"/>
        <v>44987.685416666667</v>
      </c>
      <c r="J248" s="102">
        <f t="shared" si="13"/>
        <v>3</v>
      </c>
      <c r="K248" s="103">
        <f t="shared" si="14"/>
        <v>2</v>
      </c>
      <c r="L248" s="83">
        <f t="shared" si="15"/>
        <v>16</v>
      </c>
    </row>
    <row r="249" spans="1:12" x14ac:dyDescent="0.25">
      <c r="A249" s="105">
        <v>44987.569444444445</v>
      </c>
      <c r="B249" s="107" t="s">
        <v>1589</v>
      </c>
      <c r="C249" s="99" t="s">
        <v>1559</v>
      </c>
      <c r="D249" s="99" t="s">
        <v>1560</v>
      </c>
      <c r="E249" s="93">
        <v>41.77</v>
      </c>
      <c r="F249" s="94" t="s">
        <v>1544</v>
      </c>
      <c r="G249" s="95" t="s">
        <v>535</v>
      </c>
      <c r="H249" s="94">
        <v>104965801</v>
      </c>
      <c r="I249" s="101">
        <f t="shared" si="12"/>
        <v>44987.569444444445</v>
      </c>
      <c r="J249" s="102">
        <f t="shared" si="13"/>
        <v>3</v>
      </c>
      <c r="K249" s="103">
        <f t="shared" si="14"/>
        <v>2</v>
      </c>
      <c r="L249" s="83">
        <f t="shared" si="15"/>
        <v>13</v>
      </c>
    </row>
    <row r="250" spans="1:12" x14ac:dyDescent="0.25">
      <c r="A250" s="105">
        <v>44987.61041666667</v>
      </c>
      <c r="B250" s="107" t="s">
        <v>1590</v>
      </c>
      <c r="C250" s="99" t="s">
        <v>1571</v>
      </c>
      <c r="D250" s="99" t="s">
        <v>1572</v>
      </c>
      <c r="E250" s="93">
        <v>100</v>
      </c>
      <c r="F250" s="94" t="s">
        <v>1544</v>
      </c>
      <c r="G250" s="95" t="s">
        <v>537</v>
      </c>
      <c r="H250" s="94">
        <v>105201525</v>
      </c>
      <c r="I250" s="101">
        <f t="shared" si="12"/>
        <v>44987.61041666667</v>
      </c>
      <c r="J250" s="102">
        <f t="shared" si="13"/>
        <v>3</v>
      </c>
      <c r="K250" s="103">
        <f t="shared" si="14"/>
        <v>2</v>
      </c>
      <c r="L250" s="83">
        <f t="shared" si="15"/>
        <v>14</v>
      </c>
    </row>
    <row r="251" spans="1:12" x14ac:dyDescent="0.25">
      <c r="A251" s="105">
        <v>44987.434027777781</v>
      </c>
      <c r="B251" s="107" t="s">
        <v>1591</v>
      </c>
      <c r="C251" s="99" t="s">
        <v>1550</v>
      </c>
      <c r="D251" s="99" t="s">
        <v>1551</v>
      </c>
      <c r="E251" s="93">
        <v>39.340000000000003</v>
      </c>
      <c r="F251" s="94" t="s">
        <v>1543</v>
      </c>
      <c r="G251" s="95" t="s">
        <v>13</v>
      </c>
      <c r="H251" s="94">
        <v>105196970</v>
      </c>
      <c r="I251" s="101">
        <f t="shared" si="12"/>
        <v>44987.434027777781</v>
      </c>
      <c r="J251" s="102">
        <f t="shared" si="13"/>
        <v>3</v>
      </c>
      <c r="K251" s="103">
        <f t="shared" si="14"/>
        <v>2</v>
      </c>
      <c r="L251" s="83">
        <f t="shared" si="15"/>
        <v>10</v>
      </c>
    </row>
    <row r="252" spans="1:12" x14ac:dyDescent="0.25">
      <c r="A252" s="105">
        <v>44987.686805555553</v>
      </c>
      <c r="B252" s="107" t="s">
        <v>1592</v>
      </c>
      <c r="C252" s="99" t="s">
        <v>1557</v>
      </c>
      <c r="D252" s="99" t="s">
        <v>1558</v>
      </c>
      <c r="E252" s="93">
        <v>125.6</v>
      </c>
      <c r="F252" s="94" t="s">
        <v>1543</v>
      </c>
      <c r="G252" s="95" t="s">
        <v>18</v>
      </c>
      <c r="H252" s="94">
        <v>105325489</v>
      </c>
      <c r="I252" s="101">
        <f t="shared" si="12"/>
        <v>44987.686805555553</v>
      </c>
      <c r="J252" s="102">
        <f t="shared" si="13"/>
        <v>3</v>
      </c>
      <c r="K252" s="103">
        <f t="shared" si="14"/>
        <v>2</v>
      </c>
      <c r="L252" s="83">
        <f t="shared" si="15"/>
        <v>16</v>
      </c>
    </row>
    <row r="253" spans="1:12" x14ac:dyDescent="0.25">
      <c r="A253" s="105">
        <v>44987.436111111114</v>
      </c>
      <c r="B253" s="107" t="s">
        <v>1593</v>
      </c>
      <c r="C253" s="99" t="s">
        <v>1555</v>
      </c>
      <c r="D253" s="99" t="s">
        <v>1556</v>
      </c>
      <c r="E253" s="93">
        <v>20</v>
      </c>
      <c r="F253" s="94" t="s">
        <v>1543</v>
      </c>
      <c r="G253" s="95" t="s">
        <v>20</v>
      </c>
      <c r="H253" s="94">
        <v>104843443</v>
      </c>
      <c r="I253" s="101">
        <f t="shared" si="12"/>
        <v>44987.436111111114</v>
      </c>
      <c r="J253" s="102">
        <f t="shared" si="13"/>
        <v>3</v>
      </c>
      <c r="K253" s="103">
        <f t="shared" si="14"/>
        <v>2</v>
      </c>
      <c r="L253" s="83">
        <f t="shared" si="15"/>
        <v>10</v>
      </c>
    </row>
    <row r="254" spans="1:12" x14ac:dyDescent="0.25">
      <c r="A254" s="105">
        <v>44987.439583333333</v>
      </c>
      <c r="B254" s="107" t="s">
        <v>1594</v>
      </c>
      <c r="C254" s="99" t="s">
        <v>1548</v>
      </c>
      <c r="D254" s="99" t="s">
        <v>1549</v>
      </c>
      <c r="E254" s="93">
        <v>80</v>
      </c>
      <c r="F254" s="94" t="s">
        <v>1543</v>
      </c>
      <c r="G254" s="95" t="s">
        <v>22</v>
      </c>
      <c r="H254" s="94">
        <v>105469474</v>
      </c>
      <c r="I254" s="101">
        <f t="shared" si="12"/>
        <v>44987.439583333333</v>
      </c>
      <c r="J254" s="102">
        <f t="shared" si="13"/>
        <v>3</v>
      </c>
      <c r="K254" s="103">
        <f t="shared" si="14"/>
        <v>2</v>
      </c>
      <c r="L254" s="83">
        <f t="shared" si="15"/>
        <v>10</v>
      </c>
    </row>
    <row r="255" spans="1:12" x14ac:dyDescent="0.25">
      <c r="A255" s="105">
        <v>44987.6</v>
      </c>
      <c r="B255" s="107" t="s">
        <v>1595</v>
      </c>
      <c r="C255" s="99" t="s">
        <v>1550</v>
      </c>
      <c r="D255" s="99" t="s">
        <v>1551</v>
      </c>
      <c r="E255" s="93">
        <v>150</v>
      </c>
      <c r="F255" s="94" t="s">
        <v>1543</v>
      </c>
      <c r="G255" s="95" t="s">
        <v>24</v>
      </c>
      <c r="H255" s="94">
        <v>100986105</v>
      </c>
      <c r="I255" s="101">
        <f t="shared" si="12"/>
        <v>44987.6</v>
      </c>
      <c r="J255" s="102">
        <f t="shared" si="13"/>
        <v>3</v>
      </c>
      <c r="K255" s="103">
        <f t="shared" si="14"/>
        <v>2</v>
      </c>
      <c r="L255" s="83">
        <f t="shared" si="15"/>
        <v>14</v>
      </c>
    </row>
    <row r="256" spans="1:12" x14ac:dyDescent="0.25">
      <c r="A256" s="105">
        <v>44987.647222222222</v>
      </c>
      <c r="B256" s="107" t="s">
        <v>1597</v>
      </c>
      <c r="C256" s="99" t="s">
        <v>1552</v>
      </c>
      <c r="D256" s="99" t="s">
        <v>1553</v>
      </c>
      <c r="E256" s="93">
        <v>400</v>
      </c>
      <c r="F256" s="94" t="s">
        <v>1543</v>
      </c>
      <c r="G256" s="95" t="s">
        <v>26</v>
      </c>
      <c r="H256" s="94">
        <v>105259720</v>
      </c>
      <c r="I256" s="101">
        <f t="shared" si="12"/>
        <v>44987.647222222222</v>
      </c>
      <c r="J256" s="102">
        <f t="shared" si="13"/>
        <v>3</v>
      </c>
      <c r="K256" s="103">
        <f t="shared" si="14"/>
        <v>2</v>
      </c>
      <c r="L256" s="83">
        <f t="shared" si="15"/>
        <v>15</v>
      </c>
    </row>
    <row r="257" spans="1:12" x14ac:dyDescent="0.25">
      <c r="A257" s="105">
        <v>44987.512499999997</v>
      </c>
      <c r="B257" s="107" t="s">
        <v>1547</v>
      </c>
      <c r="C257" s="99" t="s">
        <v>1555</v>
      </c>
      <c r="D257" s="99" t="s">
        <v>1556</v>
      </c>
      <c r="E257" s="93">
        <v>61.61</v>
      </c>
      <c r="F257" s="94" t="s">
        <v>1543</v>
      </c>
      <c r="G257" s="95" t="s">
        <v>28</v>
      </c>
      <c r="H257" s="94">
        <v>105675191</v>
      </c>
      <c r="I257" s="101">
        <f t="shared" si="12"/>
        <v>44987.512499999997</v>
      </c>
      <c r="J257" s="102">
        <f t="shared" si="13"/>
        <v>3</v>
      </c>
      <c r="K257" s="103">
        <f t="shared" si="14"/>
        <v>2</v>
      </c>
      <c r="L257" s="83">
        <f t="shared" si="15"/>
        <v>12</v>
      </c>
    </row>
    <row r="258" spans="1:12" x14ac:dyDescent="0.25">
      <c r="A258" s="105">
        <v>44987.693749999999</v>
      </c>
      <c r="B258" s="107" t="s">
        <v>1554</v>
      </c>
      <c r="C258" s="99" t="s">
        <v>1557</v>
      </c>
      <c r="D258" s="99" t="s">
        <v>1558</v>
      </c>
      <c r="E258" s="93">
        <v>139.87</v>
      </c>
      <c r="F258" s="94" t="s">
        <v>1543</v>
      </c>
      <c r="G258" s="95" t="s">
        <v>30</v>
      </c>
      <c r="H258" s="94">
        <v>105228911</v>
      </c>
      <c r="I258" s="101">
        <f t="shared" si="12"/>
        <v>44987.693749999999</v>
      </c>
      <c r="J258" s="102">
        <f t="shared" si="13"/>
        <v>3</v>
      </c>
      <c r="K258" s="103">
        <f t="shared" si="14"/>
        <v>2</v>
      </c>
      <c r="L258" s="83">
        <f t="shared" si="15"/>
        <v>16</v>
      </c>
    </row>
    <row r="259" spans="1:12" x14ac:dyDescent="0.25">
      <c r="A259" s="105">
        <v>44987.621527777781</v>
      </c>
      <c r="B259" s="107" t="s">
        <v>1561</v>
      </c>
      <c r="C259" s="99" t="s">
        <v>1559</v>
      </c>
      <c r="D259" s="99" t="s">
        <v>1560</v>
      </c>
      <c r="E259" s="93">
        <v>40</v>
      </c>
      <c r="F259" s="94" t="s">
        <v>1543</v>
      </c>
      <c r="G259" s="95" t="s">
        <v>32</v>
      </c>
      <c r="H259" s="94">
        <v>103334373</v>
      </c>
      <c r="I259" s="101">
        <f t="shared" ref="I259:I322" si="16">A259</f>
        <v>44987.621527777781</v>
      </c>
      <c r="J259" s="102">
        <f t="shared" ref="J259:J322" si="17">MONTH(A259)</f>
        <v>3</v>
      </c>
      <c r="K259" s="103">
        <f t="shared" ref="K259:K322" si="18">DAY(A259)</f>
        <v>2</v>
      </c>
      <c r="L259" s="83">
        <f t="shared" ref="L259:L322" si="19">HOUR(A259)</f>
        <v>14</v>
      </c>
    </row>
    <row r="260" spans="1:12" x14ac:dyDescent="0.25">
      <c r="A260" s="105">
        <v>44987.441666666666</v>
      </c>
      <c r="B260" s="107" t="s">
        <v>1568</v>
      </c>
      <c r="C260" s="99" t="s">
        <v>1562</v>
      </c>
      <c r="D260" s="99" t="s">
        <v>1563</v>
      </c>
      <c r="E260" s="93">
        <v>143</v>
      </c>
      <c r="F260" s="94" t="s">
        <v>1544</v>
      </c>
      <c r="G260" s="95" t="s">
        <v>34</v>
      </c>
      <c r="H260" s="94">
        <v>104493880</v>
      </c>
      <c r="I260" s="101">
        <f t="shared" si="16"/>
        <v>44987.441666666666</v>
      </c>
      <c r="J260" s="102">
        <f t="shared" si="17"/>
        <v>3</v>
      </c>
      <c r="K260" s="103">
        <f t="shared" si="18"/>
        <v>2</v>
      </c>
      <c r="L260" s="83">
        <f t="shared" si="19"/>
        <v>10</v>
      </c>
    </row>
    <row r="261" spans="1:12" x14ac:dyDescent="0.25">
      <c r="A261" s="105">
        <v>44987.73541666667</v>
      </c>
      <c r="B261" s="107" t="s">
        <v>1575</v>
      </c>
      <c r="C261" s="99" t="s">
        <v>1564</v>
      </c>
      <c r="D261" s="99" t="s">
        <v>1565</v>
      </c>
      <c r="E261" s="93">
        <v>145.36000000000001</v>
      </c>
      <c r="F261" s="94" t="s">
        <v>1543</v>
      </c>
      <c r="G261" s="95" t="s">
        <v>37</v>
      </c>
      <c r="H261" s="94">
        <v>104228025</v>
      </c>
      <c r="I261" s="101">
        <f t="shared" si="16"/>
        <v>44987.73541666667</v>
      </c>
      <c r="J261" s="102">
        <f t="shared" si="17"/>
        <v>3</v>
      </c>
      <c r="K261" s="103">
        <f t="shared" si="18"/>
        <v>2</v>
      </c>
      <c r="L261" s="83">
        <f t="shared" si="19"/>
        <v>17</v>
      </c>
    </row>
    <row r="262" spans="1:12" x14ac:dyDescent="0.25">
      <c r="A262" s="105">
        <v>44987.570833333331</v>
      </c>
      <c r="B262" s="107" t="s">
        <v>1582</v>
      </c>
      <c r="C262" s="99" t="s">
        <v>1566</v>
      </c>
      <c r="D262" s="99" t="s">
        <v>1567</v>
      </c>
      <c r="E262" s="93">
        <v>20.77</v>
      </c>
      <c r="F262" s="94" t="s">
        <v>1544</v>
      </c>
      <c r="G262" s="95" t="s">
        <v>39</v>
      </c>
      <c r="H262" s="94">
        <v>104965801</v>
      </c>
      <c r="I262" s="101">
        <f t="shared" si="16"/>
        <v>44987.570833333331</v>
      </c>
      <c r="J262" s="102">
        <f t="shared" si="17"/>
        <v>3</v>
      </c>
      <c r="K262" s="103">
        <f t="shared" si="18"/>
        <v>2</v>
      </c>
      <c r="L262" s="83">
        <f t="shared" si="19"/>
        <v>13</v>
      </c>
    </row>
    <row r="263" spans="1:12" x14ac:dyDescent="0.25">
      <c r="A263" s="105">
        <v>44987.723611111112</v>
      </c>
      <c r="B263" s="107" t="s">
        <v>1586</v>
      </c>
      <c r="C263" s="99" t="s">
        <v>1569</v>
      </c>
      <c r="D263" s="99" t="s">
        <v>1570</v>
      </c>
      <c r="E263" s="93">
        <v>100</v>
      </c>
      <c r="F263" s="94" t="s">
        <v>1543</v>
      </c>
      <c r="G263" s="95" t="s">
        <v>41</v>
      </c>
      <c r="H263" s="94">
        <v>103754652</v>
      </c>
      <c r="I263" s="101">
        <f t="shared" si="16"/>
        <v>44987.723611111112</v>
      </c>
      <c r="J263" s="102">
        <f t="shared" si="17"/>
        <v>3</v>
      </c>
      <c r="K263" s="103">
        <f t="shared" si="18"/>
        <v>2</v>
      </c>
      <c r="L263" s="83">
        <f t="shared" si="19"/>
        <v>17</v>
      </c>
    </row>
    <row r="264" spans="1:12" x14ac:dyDescent="0.25">
      <c r="A264" s="105">
        <v>44987.431944444441</v>
      </c>
      <c r="B264" s="107" t="s">
        <v>1589</v>
      </c>
      <c r="C264" s="99" t="s">
        <v>1571</v>
      </c>
      <c r="D264" s="99" t="s">
        <v>1572</v>
      </c>
      <c r="E264" s="93">
        <v>96.79</v>
      </c>
      <c r="F264" s="94" t="s">
        <v>1543</v>
      </c>
      <c r="G264" s="95" t="s">
        <v>43</v>
      </c>
      <c r="H264" s="94">
        <v>104311652</v>
      </c>
      <c r="I264" s="101">
        <f t="shared" si="16"/>
        <v>44987.431944444441</v>
      </c>
      <c r="J264" s="102">
        <f t="shared" si="17"/>
        <v>3</v>
      </c>
      <c r="K264" s="103">
        <f t="shared" si="18"/>
        <v>2</v>
      </c>
      <c r="L264" s="83">
        <f t="shared" si="19"/>
        <v>10</v>
      </c>
    </row>
    <row r="265" spans="1:12" x14ac:dyDescent="0.25">
      <c r="A265" s="105">
        <v>44987.459722222222</v>
      </c>
      <c r="B265" s="107" t="s">
        <v>1590</v>
      </c>
      <c r="C265" s="99" t="s">
        <v>1573</v>
      </c>
      <c r="D265" s="99" t="s">
        <v>1574</v>
      </c>
      <c r="E265" s="93">
        <v>95</v>
      </c>
      <c r="F265" s="94" t="s">
        <v>1543</v>
      </c>
      <c r="G265" s="95" t="s">
        <v>45</v>
      </c>
      <c r="H265" s="94">
        <v>103781003</v>
      </c>
      <c r="I265" s="101">
        <f t="shared" si="16"/>
        <v>44987.459722222222</v>
      </c>
      <c r="J265" s="102">
        <f t="shared" si="17"/>
        <v>3</v>
      </c>
      <c r="K265" s="103">
        <f t="shared" si="18"/>
        <v>2</v>
      </c>
      <c r="L265" s="83">
        <f t="shared" si="19"/>
        <v>11</v>
      </c>
    </row>
    <row r="266" spans="1:12" x14ac:dyDescent="0.25">
      <c r="A266" s="105">
        <v>44987.601388888892</v>
      </c>
      <c r="B266" s="107" t="s">
        <v>1591</v>
      </c>
      <c r="C266" s="99" t="s">
        <v>1576</v>
      </c>
      <c r="D266" s="99" t="s">
        <v>1577</v>
      </c>
      <c r="E266" s="93">
        <v>78.72</v>
      </c>
      <c r="F266" s="94" t="s">
        <v>1543</v>
      </c>
      <c r="G266" s="95" t="s">
        <v>47</v>
      </c>
      <c r="H266" s="94">
        <v>101711837</v>
      </c>
      <c r="I266" s="101">
        <f t="shared" si="16"/>
        <v>44987.601388888892</v>
      </c>
      <c r="J266" s="102">
        <f t="shared" si="17"/>
        <v>3</v>
      </c>
      <c r="K266" s="103">
        <f t="shared" si="18"/>
        <v>2</v>
      </c>
      <c r="L266" s="83">
        <f t="shared" si="19"/>
        <v>14</v>
      </c>
    </row>
    <row r="267" spans="1:12" x14ac:dyDescent="0.25">
      <c r="A267" s="105">
        <v>44987.77847222222</v>
      </c>
      <c r="B267" s="107" t="s">
        <v>1592</v>
      </c>
      <c r="C267" s="99" t="s">
        <v>1578</v>
      </c>
      <c r="D267" s="99" t="s">
        <v>1579</v>
      </c>
      <c r="E267" s="93">
        <v>16.13</v>
      </c>
      <c r="F267" s="94" t="s">
        <v>1544</v>
      </c>
      <c r="G267" s="95" t="s">
        <v>49</v>
      </c>
      <c r="H267" s="94">
        <v>105699908</v>
      </c>
      <c r="I267" s="101">
        <f t="shared" si="16"/>
        <v>44987.77847222222</v>
      </c>
      <c r="J267" s="102">
        <f t="shared" si="17"/>
        <v>3</v>
      </c>
      <c r="K267" s="103">
        <f t="shared" si="18"/>
        <v>2</v>
      </c>
      <c r="L267" s="83">
        <f t="shared" si="19"/>
        <v>18</v>
      </c>
    </row>
    <row r="268" spans="1:12" x14ac:dyDescent="0.25">
      <c r="A268" s="105">
        <v>44987.752083333333</v>
      </c>
      <c r="B268" s="107" t="s">
        <v>1593</v>
      </c>
      <c r="C268" s="99" t="s">
        <v>1580</v>
      </c>
      <c r="D268" s="99" t="s">
        <v>1581</v>
      </c>
      <c r="E268" s="93">
        <v>43</v>
      </c>
      <c r="F268" s="94" t="s">
        <v>1544</v>
      </c>
      <c r="G268" s="95" t="s">
        <v>51</v>
      </c>
      <c r="H268" s="94">
        <v>103241347</v>
      </c>
      <c r="I268" s="101">
        <f t="shared" si="16"/>
        <v>44987.752083333333</v>
      </c>
      <c r="J268" s="102">
        <f t="shared" si="17"/>
        <v>3</v>
      </c>
      <c r="K268" s="103">
        <f t="shared" si="18"/>
        <v>2</v>
      </c>
      <c r="L268" s="83">
        <f t="shared" si="19"/>
        <v>18</v>
      </c>
    </row>
    <row r="269" spans="1:12" x14ac:dyDescent="0.25">
      <c r="A269" s="105">
        <v>44987.492361111108</v>
      </c>
      <c r="B269" s="107" t="s">
        <v>1594</v>
      </c>
      <c r="C269" s="99" t="s">
        <v>1548</v>
      </c>
      <c r="D269" s="99" t="s">
        <v>1549</v>
      </c>
      <c r="E269" s="93">
        <v>52.14</v>
      </c>
      <c r="F269" s="94" t="s">
        <v>1543</v>
      </c>
      <c r="G269" s="95" t="s">
        <v>53</v>
      </c>
      <c r="H269" s="94">
        <v>105717570</v>
      </c>
      <c r="I269" s="101">
        <f t="shared" si="16"/>
        <v>44987.492361111108</v>
      </c>
      <c r="J269" s="102">
        <f t="shared" si="17"/>
        <v>3</v>
      </c>
      <c r="K269" s="103">
        <f t="shared" si="18"/>
        <v>2</v>
      </c>
      <c r="L269" s="83">
        <f t="shared" si="19"/>
        <v>11</v>
      </c>
    </row>
    <row r="270" spans="1:12" x14ac:dyDescent="0.25">
      <c r="A270" s="105">
        <v>44987.481944444444</v>
      </c>
      <c r="B270" s="107" t="s">
        <v>1595</v>
      </c>
      <c r="C270" s="99" t="s">
        <v>1583</v>
      </c>
      <c r="D270" s="99" t="s">
        <v>1574</v>
      </c>
      <c r="E270" s="93">
        <v>500</v>
      </c>
      <c r="F270" s="94" t="s">
        <v>1543</v>
      </c>
      <c r="G270" s="95" t="s">
        <v>55</v>
      </c>
      <c r="H270" s="94">
        <v>103096781</v>
      </c>
      <c r="I270" s="101">
        <f t="shared" si="16"/>
        <v>44987.481944444444</v>
      </c>
      <c r="J270" s="102">
        <f t="shared" si="17"/>
        <v>3</v>
      </c>
      <c r="K270" s="103">
        <f t="shared" si="18"/>
        <v>2</v>
      </c>
      <c r="L270" s="83">
        <f t="shared" si="19"/>
        <v>11</v>
      </c>
    </row>
    <row r="271" spans="1:12" x14ac:dyDescent="0.25">
      <c r="A271" s="105">
        <v>44987.662499999999</v>
      </c>
      <c r="B271" s="107" t="s">
        <v>1597</v>
      </c>
      <c r="C271" s="99" t="s">
        <v>1584</v>
      </c>
      <c r="D271" s="99" t="s">
        <v>1585</v>
      </c>
      <c r="E271" s="93">
        <v>164.42</v>
      </c>
      <c r="F271" s="94" t="s">
        <v>1543</v>
      </c>
      <c r="G271" s="95" t="s">
        <v>57</v>
      </c>
      <c r="H271" s="94">
        <v>105480491</v>
      </c>
      <c r="I271" s="101">
        <f t="shared" si="16"/>
        <v>44987.662499999999</v>
      </c>
      <c r="J271" s="102">
        <f t="shared" si="17"/>
        <v>3</v>
      </c>
      <c r="K271" s="103">
        <f t="shared" si="18"/>
        <v>2</v>
      </c>
      <c r="L271" s="83">
        <f t="shared" si="19"/>
        <v>15</v>
      </c>
    </row>
    <row r="272" spans="1:12" x14ac:dyDescent="0.25">
      <c r="A272" s="105">
        <v>44987.754861111112</v>
      </c>
      <c r="B272" s="107" t="s">
        <v>1547</v>
      </c>
      <c r="C272" s="99" t="s">
        <v>1557</v>
      </c>
      <c r="D272" s="99" t="s">
        <v>1558</v>
      </c>
      <c r="E272" s="93">
        <v>403.01</v>
      </c>
      <c r="F272" s="94" t="s">
        <v>1543</v>
      </c>
      <c r="G272" s="95" t="s">
        <v>59</v>
      </c>
      <c r="H272" s="94">
        <v>102945320</v>
      </c>
      <c r="I272" s="101">
        <f t="shared" si="16"/>
        <v>44987.754861111112</v>
      </c>
      <c r="J272" s="102">
        <f t="shared" si="17"/>
        <v>3</v>
      </c>
      <c r="K272" s="103">
        <f t="shared" si="18"/>
        <v>2</v>
      </c>
      <c r="L272" s="83">
        <f t="shared" si="19"/>
        <v>18</v>
      </c>
    </row>
    <row r="273" spans="1:12" x14ac:dyDescent="0.25">
      <c r="A273" s="105">
        <v>44987.576388888891</v>
      </c>
      <c r="B273" s="107" t="s">
        <v>1554</v>
      </c>
      <c r="C273" s="99" t="s">
        <v>1587</v>
      </c>
      <c r="D273" s="99" t="s">
        <v>1588</v>
      </c>
      <c r="E273" s="93">
        <v>20</v>
      </c>
      <c r="F273" s="94" t="s">
        <v>1543</v>
      </c>
      <c r="G273" s="95" t="s">
        <v>61</v>
      </c>
      <c r="H273" s="94">
        <v>104299134</v>
      </c>
      <c r="I273" s="101">
        <f t="shared" si="16"/>
        <v>44987.576388888891</v>
      </c>
      <c r="J273" s="102">
        <f t="shared" si="17"/>
        <v>3</v>
      </c>
      <c r="K273" s="103">
        <f t="shared" si="18"/>
        <v>2</v>
      </c>
      <c r="L273" s="83">
        <f t="shared" si="19"/>
        <v>13</v>
      </c>
    </row>
    <row r="274" spans="1:12" x14ac:dyDescent="0.25">
      <c r="A274" s="105">
        <v>44987.428472222222</v>
      </c>
      <c r="B274" s="107" t="s">
        <v>1561</v>
      </c>
      <c r="C274" s="99" t="s">
        <v>1564</v>
      </c>
      <c r="D274" s="99" t="s">
        <v>1565</v>
      </c>
      <c r="E274" s="93">
        <v>77</v>
      </c>
      <c r="F274" s="94" t="s">
        <v>1543</v>
      </c>
      <c r="G274" s="95" t="s">
        <v>63</v>
      </c>
      <c r="H274" s="94">
        <v>104288494</v>
      </c>
      <c r="I274" s="101">
        <f t="shared" si="16"/>
        <v>44987.428472222222</v>
      </c>
      <c r="J274" s="102">
        <f t="shared" si="17"/>
        <v>3</v>
      </c>
      <c r="K274" s="103">
        <f t="shared" si="18"/>
        <v>2</v>
      </c>
      <c r="L274" s="83">
        <f t="shared" si="19"/>
        <v>10</v>
      </c>
    </row>
    <row r="275" spans="1:12" x14ac:dyDescent="0.25">
      <c r="A275" s="105">
        <v>44987.659722222219</v>
      </c>
      <c r="B275" s="107" t="s">
        <v>1568</v>
      </c>
      <c r="C275" s="99" t="s">
        <v>1548</v>
      </c>
      <c r="D275" s="99" t="s">
        <v>1549</v>
      </c>
      <c r="E275" s="93">
        <v>10</v>
      </c>
      <c r="F275" s="94" t="s">
        <v>1544</v>
      </c>
      <c r="G275" s="95" t="s">
        <v>65</v>
      </c>
      <c r="H275" s="94">
        <v>105112222</v>
      </c>
      <c r="I275" s="101">
        <f t="shared" si="16"/>
        <v>44987.659722222219</v>
      </c>
      <c r="J275" s="102">
        <f t="shared" si="17"/>
        <v>3</v>
      </c>
      <c r="K275" s="103">
        <f t="shared" si="18"/>
        <v>2</v>
      </c>
      <c r="L275" s="83">
        <f t="shared" si="19"/>
        <v>15</v>
      </c>
    </row>
    <row r="276" spans="1:12" x14ac:dyDescent="0.25">
      <c r="A276" s="105">
        <v>44987.613194444442</v>
      </c>
      <c r="B276" s="107" t="s">
        <v>1575</v>
      </c>
      <c r="C276" s="99" t="s">
        <v>1550</v>
      </c>
      <c r="D276" s="99" t="s">
        <v>1551</v>
      </c>
      <c r="E276" s="93">
        <v>31</v>
      </c>
      <c r="F276" s="94" t="s">
        <v>1544</v>
      </c>
      <c r="G276" s="95" t="s">
        <v>67</v>
      </c>
      <c r="H276" s="94">
        <v>105201525</v>
      </c>
      <c r="I276" s="101">
        <f t="shared" si="16"/>
        <v>44987.613194444442</v>
      </c>
      <c r="J276" s="102">
        <f t="shared" si="17"/>
        <v>3</v>
      </c>
      <c r="K276" s="103">
        <f t="shared" si="18"/>
        <v>2</v>
      </c>
      <c r="L276" s="83">
        <f t="shared" si="19"/>
        <v>14</v>
      </c>
    </row>
    <row r="277" spans="1:12" x14ac:dyDescent="0.25">
      <c r="A277" s="105">
        <v>44987.4375</v>
      </c>
      <c r="B277" s="107" t="s">
        <v>1582</v>
      </c>
      <c r="C277" s="99" t="s">
        <v>1562</v>
      </c>
      <c r="D277" s="99" t="s">
        <v>1563</v>
      </c>
      <c r="E277" s="93">
        <v>98.58</v>
      </c>
      <c r="F277" s="94" t="s">
        <v>1543</v>
      </c>
      <c r="G277" s="95" t="s">
        <v>69</v>
      </c>
      <c r="H277" s="94">
        <v>105469474</v>
      </c>
      <c r="I277" s="101">
        <f t="shared" si="16"/>
        <v>44987.4375</v>
      </c>
      <c r="J277" s="102">
        <f t="shared" si="17"/>
        <v>3</v>
      </c>
      <c r="K277" s="103">
        <f t="shared" si="18"/>
        <v>2</v>
      </c>
      <c r="L277" s="83">
        <f t="shared" si="19"/>
        <v>10</v>
      </c>
    </row>
    <row r="278" spans="1:12" x14ac:dyDescent="0.25">
      <c r="A278" s="105">
        <v>44987.538888888892</v>
      </c>
      <c r="B278" s="107" t="s">
        <v>1586</v>
      </c>
      <c r="C278" s="99" t="s">
        <v>1552</v>
      </c>
      <c r="D278" s="99" t="s">
        <v>1553</v>
      </c>
      <c r="E278" s="93">
        <v>50</v>
      </c>
      <c r="F278" s="94" t="s">
        <v>1543</v>
      </c>
      <c r="G278" s="95" t="s">
        <v>71</v>
      </c>
      <c r="H278" s="94">
        <v>103822593</v>
      </c>
      <c r="I278" s="101">
        <f t="shared" si="16"/>
        <v>44987.538888888892</v>
      </c>
      <c r="J278" s="102">
        <f t="shared" si="17"/>
        <v>3</v>
      </c>
      <c r="K278" s="103">
        <f t="shared" si="18"/>
        <v>2</v>
      </c>
      <c r="L278" s="83">
        <f t="shared" si="19"/>
        <v>12</v>
      </c>
    </row>
    <row r="279" spans="1:12" x14ac:dyDescent="0.25">
      <c r="A279" s="105">
        <v>44987.548611111109</v>
      </c>
      <c r="B279" s="107" t="s">
        <v>1589</v>
      </c>
      <c r="C279" s="99" t="s">
        <v>1555</v>
      </c>
      <c r="D279" s="99" t="s">
        <v>1556</v>
      </c>
      <c r="E279" s="93">
        <v>93.14</v>
      </c>
      <c r="F279" s="94" t="s">
        <v>1543</v>
      </c>
      <c r="G279" s="95" t="s">
        <v>73</v>
      </c>
      <c r="H279" s="94">
        <v>105414684</v>
      </c>
      <c r="I279" s="101">
        <f t="shared" si="16"/>
        <v>44987.548611111109</v>
      </c>
      <c r="J279" s="102">
        <f t="shared" si="17"/>
        <v>3</v>
      </c>
      <c r="K279" s="103">
        <f t="shared" si="18"/>
        <v>2</v>
      </c>
      <c r="L279" s="83">
        <f t="shared" si="19"/>
        <v>13</v>
      </c>
    </row>
    <row r="280" spans="1:12" x14ac:dyDescent="0.25">
      <c r="A280" s="105">
        <v>44987.602777777778</v>
      </c>
      <c r="B280" s="107" t="s">
        <v>1590</v>
      </c>
      <c r="C280" s="99" t="s">
        <v>1559</v>
      </c>
      <c r="D280" s="99" t="s">
        <v>1560</v>
      </c>
      <c r="E280" s="93">
        <v>117</v>
      </c>
      <c r="F280" s="94" t="s">
        <v>1543</v>
      </c>
      <c r="G280" s="95" t="s">
        <v>75</v>
      </c>
      <c r="H280" s="94">
        <v>102830471</v>
      </c>
      <c r="I280" s="101">
        <f t="shared" si="16"/>
        <v>44987.602777777778</v>
      </c>
      <c r="J280" s="102">
        <f t="shared" si="17"/>
        <v>3</v>
      </c>
      <c r="K280" s="103">
        <f t="shared" si="18"/>
        <v>2</v>
      </c>
      <c r="L280" s="83">
        <f t="shared" si="19"/>
        <v>14</v>
      </c>
    </row>
    <row r="281" spans="1:12" x14ac:dyDescent="0.25">
      <c r="A281" s="105">
        <v>44987.62222222222</v>
      </c>
      <c r="B281" s="107" t="s">
        <v>1591</v>
      </c>
      <c r="C281" s="99" t="s">
        <v>1548</v>
      </c>
      <c r="D281" s="99" t="s">
        <v>1549</v>
      </c>
      <c r="E281" s="93">
        <v>30</v>
      </c>
      <c r="F281" s="94" t="s">
        <v>1543</v>
      </c>
      <c r="G281" s="95" t="s">
        <v>78</v>
      </c>
      <c r="H281" s="94">
        <v>103334373</v>
      </c>
      <c r="I281" s="101">
        <f t="shared" si="16"/>
        <v>44987.62222222222</v>
      </c>
      <c r="J281" s="102">
        <f t="shared" si="17"/>
        <v>3</v>
      </c>
      <c r="K281" s="103">
        <f t="shared" si="18"/>
        <v>2</v>
      </c>
      <c r="L281" s="83">
        <f t="shared" si="19"/>
        <v>14</v>
      </c>
    </row>
    <row r="282" spans="1:12" x14ac:dyDescent="0.25">
      <c r="A282" s="105">
        <v>44987.638194444444</v>
      </c>
      <c r="B282" s="107" t="s">
        <v>1592</v>
      </c>
      <c r="C282" s="99" t="s">
        <v>1566</v>
      </c>
      <c r="D282" s="99" t="s">
        <v>1567</v>
      </c>
      <c r="E282" s="93">
        <v>134.27000000000001</v>
      </c>
      <c r="F282" s="94" t="s">
        <v>1543</v>
      </c>
      <c r="G282" s="95" t="s">
        <v>80</v>
      </c>
      <c r="H282" s="94">
        <v>103846973</v>
      </c>
      <c r="I282" s="101">
        <f t="shared" si="16"/>
        <v>44987.638194444444</v>
      </c>
      <c r="J282" s="102">
        <f t="shared" si="17"/>
        <v>3</v>
      </c>
      <c r="K282" s="103">
        <f t="shared" si="18"/>
        <v>2</v>
      </c>
      <c r="L282" s="83">
        <f t="shared" si="19"/>
        <v>15</v>
      </c>
    </row>
    <row r="283" spans="1:12" x14ac:dyDescent="0.25">
      <c r="A283" s="105">
        <v>44987.681944444441</v>
      </c>
      <c r="B283" s="107" t="s">
        <v>1593</v>
      </c>
      <c r="C283" s="99" t="s">
        <v>1564</v>
      </c>
      <c r="D283" s="99" t="s">
        <v>1565</v>
      </c>
      <c r="E283" s="93">
        <v>192</v>
      </c>
      <c r="F283" s="94" t="s">
        <v>1543</v>
      </c>
      <c r="G283" s="95" t="s">
        <v>83</v>
      </c>
      <c r="H283" s="94">
        <v>103808607</v>
      </c>
      <c r="I283" s="101">
        <f t="shared" si="16"/>
        <v>44987.681944444441</v>
      </c>
      <c r="J283" s="102">
        <f t="shared" si="17"/>
        <v>3</v>
      </c>
      <c r="K283" s="103">
        <f t="shared" si="18"/>
        <v>2</v>
      </c>
      <c r="L283" s="83">
        <f t="shared" si="19"/>
        <v>16</v>
      </c>
    </row>
    <row r="284" spans="1:12" x14ac:dyDescent="0.25">
      <c r="A284" s="105">
        <v>44987.709722222222</v>
      </c>
      <c r="B284" s="107" t="s">
        <v>1594</v>
      </c>
      <c r="C284" s="99" t="s">
        <v>1548</v>
      </c>
      <c r="D284" s="99" t="s">
        <v>1549</v>
      </c>
      <c r="E284" s="93">
        <v>150.66999999999999</v>
      </c>
      <c r="F284" s="94" t="s">
        <v>1543</v>
      </c>
      <c r="G284" s="95" t="s">
        <v>85</v>
      </c>
      <c r="H284" s="94">
        <v>103053654</v>
      </c>
      <c r="I284" s="101">
        <f t="shared" si="16"/>
        <v>44987.709722222222</v>
      </c>
      <c r="J284" s="102">
        <f t="shared" si="17"/>
        <v>3</v>
      </c>
      <c r="K284" s="103">
        <f t="shared" si="18"/>
        <v>2</v>
      </c>
      <c r="L284" s="83">
        <f t="shared" si="19"/>
        <v>17</v>
      </c>
    </row>
    <row r="285" spans="1:12" x14ac:dyDescent="0.25">
      <c r="A285" s="105">
        <v>44987.715277777781</v>
      </c>
      <c r="B285" s="107" t="s">
        <v>1595</v>
      </c>
      <c r="C285" s="99" t="s">
        <v>1550</v>
      </c>
      <c r="D285" s="99" t="s">
        <v>1551</v>
      </c>
      <c r="E285" s="93">
        <v>10</v>
      </c>
      <c r="F285" s="94" t="s">
        <v>1543</v>
      </c>
      <c r="G285" s="95" t="s">
        <v>87</v>
      </c>
      <c r="H285" s="94">
        <v>104625452</v>
      </c>
      <c r="I285" s="101">
        <f t="shared" si="16"/>
        <v>44987.715277777781</v>
      </c>
      <c r="J285" s="102">
        <f t="shared" si="17"/>
        <v>3</v>
      </c>
      <c r="K285" s="103">
        <f t="shared" si="18"/>
        <v>2</v>
      </c>
      <c r="L285" s="83">
        <f t="shared" si="19"/>
        <v>17</v>
      </c>
    </row>
    <row r="286" spans="1:12" x14ac:dyDescent="0.25">
      <c r="A286" s="105">
        <v>44987.722222222219</v>
      </c>
      <c r="B286" s="107" t="s">
        <v>1597</v>
      </c>
      <c r="C286" s="99" t="s">
        <v>1557</v>
      </c>
      <c r="D286" s="99" t="s">
        <v>1558</v>
      </c>
      <c r="E286" s="93">
        <v>38.17</v>
      </c>
      <c r="F286" s="94" t="s">
        <v>1543</v>
      </c>
      <c r="G286" s="95" t="s">
        <v>89</v>
      </c>
      <c r="H286" s="94">
        <v>105668631</v>
      </c>
      <c r="I286" s="101">
        <f t="shared" si="16"/>
        <v>44987.722222222219</v>
      </c>
      <c r="J286" s="102">
        <f t="shared" si="17"/>
        <v>3</v>
      </c>
      <c r="K286" s="103">
        <f t="shared" si="18"/>
        <v>2</v>
      </c>
      <c r="L286" s="83">
        <f t="shared" si="19"/>
        <v>17</v>
      </c>
    </row>
    <row r="287" spans="1:12" x14ac:dyDescent="0.25">
      <c r="A287" s="105">
        <v>44987.744444444441</v>
      </c>
      <c r="B287" s="107" t="s">
        <v>1547</v>
      </c>
      <c r="C287" s="99" t="s">
        <v>1562</v>
      </c>
      <c r="D287" s="99" t="s">
        <v>1563</v>
      </c>
      <c r="E287" s="93">
        <v>71.12</v>
      </c>
      <c r="F287" s="94" t="s">
        <v>1543</v>
      </c>
      <c r="G287" s="95" t="s">
        <v>91</v>
      </c>
      <c r="H287" s="94">
        <v>104247730</v>
      </c>
      <c r="I287" s="101">
        <f t="shared" si="16"/>
        <v>44987.744444444441</v>
      </c>
      <c r="J287" s="102">
        <f t="shared" si="17"/>
        <v>3</v>
      </c>
      <c r="K287" s="103">
        <f t="shared" si="18"/>
        <v>2</v>
      </c>
      <c r="L287" s="83">
        <f t="shared" si="19"/>
        <v>17</v>
      </c>
    </row>
    <row r="288" spans="1:12" x14ac:dyDescent="0.25">
      <c r="A288" s="105">
        <v>44987.754166666666</v>
      </c>
      <c r="B288" s="107" t="s">
        <v>1554</v>
      </c>
      <c r="C288" s="99" t="s">
        <v>1576</v>
      </c>
      <c r="D288" s="99" t="s">
        <v>1577</v>
      </c>
      <c r="E288" s="93">
        <v>74.12</v>
      </c>
      <c r="F288" s="94" t="s">
        <v>1543</v>
      </c>
      <c r="G288" s="95" t="s">
        <v>93</v>
      </c>
      <c r="H288" s="94">
        <v>103626170</v>
      </c>
      <c r="I288" s="101">
        <f t="shared" si="16"/>
        <v>44987.754166666666</v>
      </c>
      <c r="J288" s="102">
        <f t="shared" si="17"/>
        <v>3</v>
      </c>
      <c r="K288" s="103">
        <f t="shared" si="18"/>
        <v>2</v>
      </c>
      <c r="L288" s="83">
        <f t="shared" si="19"/>
        <v>18</v>
      </c>
    </row>
    <row r="289" spans="1:12" x14ac:dyDescent="0.25">
      <c r="A289" s="105">
        <v>44987.579861111109</v>
      </c>
      <c r="B289" s="107" t="s">
        <v>1561</v>
      </c>
      <c r="C289" s="99" t="s">
        <v>1569</v>
      </c>
      <c r="D289" s="99" t="s">
        <v>1570</v>
      </c>
      <c r="E289" s="93">
        <v>166</v>
      </c>
      <c r="F289" s="94" t="s">
        <v>1543</v>
      </c>
      <c r="G289" s="95" t="s">
        <v>95</v>
      </c>
      <c r="H289" s="94">
        <v>104432906</v>
      </c>
      <c r="I289" s="101">
        <f t="shared" si="16"/>
        <v>44987.579861111109</v>
      </c>
      <c r="J289" s="102">
        <f t="shared" si="17"/>
        <v>3</v>
      </c>
      <c r="K289" s="103">
        <f t="shared" si="18"/>
        <v>2</v>
      </c>
      <c r="L289" s="83">
        <f t="shared" si="19"/>
        <v>13</v>
      </c>
    </row>
    <row r="290" spans="1:12" x14ac:dyDescent="0.25">
      <c r="A290" s="105">
        <v>45177.659722222219</v>
      </c>
      <c r="B290" s="107" t="s">
        <v>1568</v>
      </c>
      <c r="C290" s="99" t="s">
        <v>1548</v>
      </c>
      <c r="D290" s="99" t="s">
        <v>1549</v>
      </c>
      <c r="E290" s="93">
        <v>71.36</v>
      </c>
      <c r="F290" s="94" t="s">
        <v>1543</v>
      </c>
      <c r="G290" s="95" t="s">
        <v>97</v>
      </c>
      <c r="H290" s="94">
        <v>105172698</v>
      </c>
      <c r="I290" s="101">
        <f t="shared" si="16"/>
        <v>45177.659722222219</v>
      </c>
      <c r="J290" s="102">
        <f t="shared" si="17"/>
        <v>9</v>
      </c>
      <c r="K290" s="103">
        <f t="shared" si="18"/>
        <v>8</v>
      </c>
      <c r="L290" s="83">
        <f t="shared" si="19"/>
        <v>15</v>
      </c>
    </row>
    <row r="291" spans="1:12" x14ac:dyDescent="0.25">
      <c r="A291" s="105">
        <v>45177.521527777775</v>
      </c>
      <c r="B291" s="107" t="s">
        <v>1575</v>
      </c>
      <c r="C291" s="99" t="s">
        <v>1559</v>
      </c>
      <c r="D291" s="99" t="s">
        <v>1560</v>
      </c>
      <c r="E291" s="93">
        <v>145.16999999999999</v>
      </c>
      <c r="F291" s="94" t="s">
        <v>1543</v>
      </c>
      <c r="G291" s="95" t="s">
        <v>99</v>
      </c>
      <c r="H291" s="94">
        <v>105641807</v>
      </c>
      <c r="I291" s="101">
        <f t="shared" si="16"/>
        <v>45177.521527777775</v>
      </c>
      <c r="J291" s="102">
        <f t="shared" si="17"/>
        <v>9</v>
      </c>
      <c r="K291" s="103">
        <f t="shared" si="18"/>
        <v>8</v>
      </c>
      <c r="L291" s="83">
        <f t="shared" si="19"/>
        <v>12</v>
      </c>
    </row>
    <row r="292" spans="1:12" x14ac:dyDescent="0.25">
      <c r="A292" s="105">
        <v>45177.49722222222</v>
      </c>
      <c r="B292" s="107" t="s">
        <v>1582</v>
      </c>
      <c r="C292" s="99" t="s">
        <v>1571</v>
      </c>
      <c r="D292" s="99" t="s">
        <v>1572</v>
      </c>
      <c r="E292" s="93">
        <v>49.31</v>
      </c>
      <c r="F292" s="94" t="s">
        <v>1543</v>
      </c>
      <c r="G292" s="95" t="s">
        <v>101</v>
      </c>
      <c r="H292" s="94">
        <v>105494686</v>
      </c>
      <c r="I292" s="101">
        <f t="shared" si="16"/>
        <v>45177.49722222222</v>
      </c>
      <c r="J292" s="102">
        <f t="shared" si="17"/>
        <v>9</v>
      </c>
      <c r="K292" s="103">
        <f t="shared" si="18"/>
        <v>8</v>
      </c>
      <c r="L292" s="83">
        <f t="shared" si="19"/>
        <v>11</v>
      </c>
    </row>
    <row r="293" spans="1:12" x14ac:dyDescent="0.25">
      <c r="A293" s="105">
        <v>45177.624305555553</v>
      </c>
      <c r="B293" s="107" t="s">
        <v>1586</v>
      </c>
      <c r="C293" s="99" t="s">
        <v>1550</v>
      </c>
      <c r="D293" s="99" t="s">
        <v>1551</v>
      </c>
      <c r="E293" s="93">
        <v>202.34</v>
      </c>
      <c r="F293" s="94" t="s">
        <v>1543</v>
      </c>
      <c r="G293" s="95" t="s">
        <v>103</v>
      </c>
      <c r="H293" s="94">
        <v>105407592</v>
      </c>
      <c r="I293" s="101">
        <f t="shared" si="16"/>
        <v>45177.624305555553</v>
      </c>
      <c r="J293" s="102">
        <f t="shared" si="17"/>
        <v>9</v>
      </c>
      <c r="K293" s="103">
        <f t="shared" si="18"/>
        <v>8</v>
      </c>
      <c r="L293" s="83">
        <f t="shared" si="19"/>
        <v>14</v>
      </c>
    </row>
    <row r="294" spans="1:12" x14ac:dyDescent="0.25">
      <c r="A294" s="105">
        <v>45177.666666666664</v>
      </c>
      <c r="B294" s="107" t="s">
        <v>1589</v>
      </c>
      <c r="C294" s="99" t="s">
        <v>1557</v>
      </c>
      <c r="D294" s="99" t="s">
        <v>1558</v>
      </c>
      <c r="E294" s="93">
        <v>724.63</v>
      </c>
      <c r="F294" s="94" t="s">
        <v>1543</v>
      </c>
      <c r="G294" s="95" t="s">
        <v>105</v>
      </c>
      <c r="H294" s="94">
        <v>104888177</v>
      </c>
      <c r="I294" s="101">
        <f t="shared" si="16"/>
        <v>45177.666666666664</v>
      </c>
      <c r="J294" s="102">
        <f t="shared" si="17"/>
        <v>9</v>
      </c>
      <c r="K294" s="103">
        <f t="shared" si="18"/>
        <v>8</v>
      </c>
      <c r="L294" s="83">
        <f t="shared" si="19"/>
        <v>16</v>
      </c>
    </row>
    <row r="295" spans="1:12" x14ac:dyDescent="0.25">
      <c r="A295" s="105">
        <v>45177.45416666667</v>
      </c>
      <c r="B295" s="107" t="s">
        <v>1590</v>
      </c>
      <c r="C295" s="99" t="s">
        <v>1555</v>
      </c>
      <c r="D295" s="99" t="s">
        <v>1556</v>
      </c>
      <c r="E295" s="93">
        <v>272.24</v>
      </c>
      <c r="F295" s="94" t="s">
        <v>1543</v>
      </c>
      <c r="G295" s="95" t="s">
        <v>107</v>
      </c>
      <c r="H295" s="94">
        <v>105034696</v>
      </c>
      <c r="I295" s="101">
        <f t="shared" si="16"/>
        <v>45177.45416666667</v>
      </c>
      <c r="J295" s="102">
        <f t="shared" si="17"/>
        <v>9</v>
      </c>
      <c r="K295" s="103">
        <f t="shared" si="18"/>
        <v>8</v>
      </c>
      <c r="L295" s="83">
        <f t="shared" si="19"/>
        <v>10</v>
      </c>
    </row>
    <row r="296" spans="1:12" x14ac:dyDescent="0.25">
      <c r="A296" s="105">
        <v>45177.456944444442</v>
      </c>
      <c r="B296" s="107" t="s">
        <v>1591</v>
      </c>
      <c r="C296" s="99" t="s">
        <v>1548</v>
      </c>
      <c r="D296" s="99" t="s">
        <v>1549</v>
      </c>
      <c r="E296" s="93">
        <v>100</v>
      </c>
      <c r="F296" s="94" t="s">
        <v>1544</v>
      </c>
      <c r="G296" s="95" t="s">
        <v>109</v>
      </c>
      <c r="H296" s="94">
        <v>103693136</v>
      </c>
      <c r="I296" s="101">
        <f t="shared" si="16"/>
        <v>45177.456944444442</v>
      </c>
      <c r="J296" s="102">
        <f t="shared" si="17"/>
        <v>9</v>
      </c>
      <c r="K296" s="103">
        <f t="shared" si="18"/>
        <v>8</v>
      </c>
      <c r="L296" s="83">
        <f t="shared" si="19"/>
        <v>10</v>
      </c>
    </row>
    <row r="297" spans="1:12" x14ac:dyDescent="0.25">
      <c r="A297" s="105">
        <v>45177.488194444442</v>
      </c>
      <c r="B297" s="107" t="s">
        <v>1592</v>
      </c>
      <c r="C297" s="99" t="s">
        <v>1550</v>
      </c>
      <c r="D297" s="99" t="s">
        <v>1551</v>
      </c>
      <c r="E297" s="93">
        <v>52</v>
      </c>
      <c r="F297" s="94" t="s">
        <v>1544</v>
      </c>
      <c r="G297" s="95" t="s">
        <v>111</v>
      </c>
      <c r="H297" s="94">
        <v>104867694</v>
      </c>
      <c r="I297" s="101">
        <f t="shared" si="16"/>
        <v>45177.488194444442</v>
      </c>
      <c r="J297" s="102">
        <f t="shared" si="17"/>
        <v>9</v>
      </c>
      <c r="K297" s="103">
        <f t="shared" si="18"/>
        <v>8</v>
      </c>
      <c r="L297" s="83">
        <f t="shared" si="19"/>
        <v>11</v>
      </c>
    </row>
    <row r="298" spans="1:12" x14ac:dyDescent="0.25">
      <c r="A298" s="105">
        <v>45177.757638888892</v>
      </c>
      <c r="B298" s="107" t="s">
        <v>1593</v>
      </c>
      <c r="C298" s="99" t="s">
        <v>1552</v>
      </c>
      <c r="D298" s="99" t="s">
        <v>1553</v>
      </c>
      <c r="E298" s="93">
        <v>10</v>
      </c>
      <c r="F298" s="94" t="s">
        <v>1544</v>
      </c>
      <c r="G298" s="95" t="s">
        <v>113</v>
      </c>
      <c r="H298" s="94">
        <v>102242446</v>
      </c>
      <c r="I298" s="101">
        <f t="shared" si="16"/>
        <v>45177.757638888892</v>
      </c>
      <c r="J298" s="102">
        <f t="shared" si="17"/>
        <v>9</v>
      </c>
      <c r="K298" s="103">
        <f t="shared" si="18"/>
        <v>8</v>
      </c>
      <c r="L298" s="83">
        <f t="shared" si="19"/>
        <v>18</v>
      </c>
    </row>
    <row r="299" spans="1:12" x14ac:dyDescent="0.25">
      <c r="A299" s="105">
        <v>45177.481249999997</v>
      </c>
      <c r="B299" s="107" t="s">
        <v>1594</v>
      </c>
      <c r="C299" s="99" t="s">
        <v>1555</v>
      </c>
      <c r="D299" s="99" t="s">
        <v>1556</v>
      </c>
      <c r="E299" s="93">
        <v>174</v>
      </c>
      <c r="F299" s="94" t="s">
        <v>1544</v>
      </c>
      <c r="G299" s="95" t="s">
        <v>115</v>
      </c>
      <c r="H299" s="94">
        <v>103979658</v>
      </c>
      <c r="I299" s="101">
        <f t="shared" si="16"/>
        <v>45177.481249999997</v>
      </c>
      <c r="J299" s="102">
        <f t="shared" si="17"/>
        <v>9</v>
      </c>
      <c r="K299" s="103">
        <f t="shared" si="18"/>
        <v>8</v>
      </c>
      <c r="L299" s="83">
        <f t="shared" si="19"/>
        <v>11</v>
      </c>
    </row>
    <row r="300" spans="1:12" x14ac:dyDescent="0.25">
      <c r="A300" s="105">
        <v>45177.658333333333</v>
      </c>
      <c r="B300" s="107" t="s">
        <v>1595</v>
      </c>
      <c r="C300" s="99" t="s">
        <v>1557</v>
      </c>
      <c r="D300" s="99" t="s">
        <v>1558</v>
      </c>
      <c r="E300" s="93">
        <v>140</v>
      </c>
      <c r="F300" s="94" t="s">
        <v>1543</v>
      </c>
      <c r="G300" s="95" t="s">
        <v>117</v>
      </c>
      <c r="H300" s="94">
        <v>104460701</v>
      </c>
      <c r="I300" s="101">
        <f t="shared" si="16"/>
        <v>45177.658333333333</v>
      </c>
      <c r="J300" s="102">
        <f t="shared" si="17"/>
        <v>9</v>
      </c>
      <c r="K300" s="103">
        <f t="shared" si="18"/>
        <v>8</v>
      </c>
      <c r="L300" s="83">
        <f t="shared" si="19"/>
        <v>15</v>
      </c>
    </row>
    <row r="301" spans="1:12" x14ac:dyDescent="0.25">
      <c r="A301" s="105">
        <v>45177.78125</v>
      </c>
      <c r="B301" s="107" t="s">
        <v>1597</v>
      </c>
      <c r="C301" s="99" t="s">
        <v>1559</v>
      </c>
      <c r="D301" s="99" t="s">
        <v>1560</v>
      </c>
      <c r="E301" s="93">
        <v>27.04</v>
      </c>
      <c r="F301" s="94" t="s">
        <v>1543</v>
      </c>
      <c r="G301" s="95" t="s">
        <v>120</v>
      </c>
      <c r="H301" s="94">
        <v>102057175</v>
      </c>
      <c r="I301" s="101">
        <f t="shared" si="16"/>
        <v>45177.78125</v>
      </c>
      <c r="J301" s="102">
        <f t="shared" si="17"/>
        <v>9</v>
      </c>
      <c r="K301" s="103">
        <f t="shared" si="18"/>
        <v>8</v>
      </c>
      <c r="L301" s="83">
        <f t="shared" si="19"/>
        <v>18</v>
      </c>
    </row>
    <row r="302" spans="1:12" x14ac:dyDescent="0.25">
      <c r="A302" s="105">
        <v>45177.704861111109</v>
      </c>
      <c r="B302" s="107" t="s">
        <v>1547</v>
      </c>
      <c r="C302" s="99" t="s">
        <v>1562</v>
      </c>
      <c r="D302" s="99" t="s">
        <v>1563</v>
      </c>
      <c r="E302" s="93">
        <v>57</v>
      </c>
      <c r="F302" s="94" t="s">
        <v>1543</v>
      </c>
      <c r="G302" s="95" t="s">
        <v>122</v>
      </c>
      <c r="H302" s="94">
        <v>100781086</v>
      </c>
      <c r="I302" s="101">
        <f t="shared" si="16"/>
        <v>45177.704861111109</v>
      </c>
      <c r="J302" s="102">
        <f t="shared" si="17"/>
        <v>9</v>
      </c>
      <c r="K302" s="103">
        <f t="shared" si="18"/>
        <v>8</v>
      </c>
      <c r="L302" s="83">
        <f t="shared" si="19"/>
        <v>16</v>
      </c>
    </row>
    <row r="303" spans="1:12" x14ac:dyDescent="0.25">
      <c r="A303" s="105">
        <v>45177.45416666667</v>
      </c>
      <c r="B303" s="107" t="s">
        <v>1554</v>
      </c>
      <c r="C303" s="99" t="s">
        <v>1564</v>
      </c>
      <c r="D303" s="99" t="s">
        <v>1565</v>
      </c>
      <c r="E303" s="93">
        <v>88</v>
      </c>
      <c r="F303" s="94" t="s">
        <v>1543</v>
      </c>
      <c r="G303" s="95" t="s">
        <v>124</v>
      </c>
      <c r="H303" s="94">
        <v>105202192</v>
      </c>
      <c r="I303" s="101">
        <f t="shared" si="16"/>
        <v>45177.45416666667</v>
      </c>
      <c r="J303" s="102">
        <f t="shared" si="17"/>
        <v>9</v>
      </c>
      <c r="K303" s="103">
        <f t="shared" si="18"/>
        <v>8</v>
      </c>
      <c r="L303" s="83">
        <f t="shared" si="19"/>
        <v>10</v>
      </c>
    </row>
    <row r="304" spans="1:12" x14ac:dyDescent="0.25">
      <c r="A304" s="105">
        <v>45177.574999999997</v>
      </c>
      <c r="B304" s="107" t="s">
        <v>1561</v>
      </c>
      <c r="C304" s="99" t="s">
        <v>1566</v>
      </c>
      <c r="D304" s="99" t="s">
        <v>1567</v>
      </c>
      <c r="E304" s="93">
        <v>132.99</v>
      </c>
      <c r="F304" s="94" t="s">
        <v>1544</v>
      </c>
      <c r="G304" s="95" t="s">
        <v>126</v>
      </c>
      <c r="H304" s="94">
        <v>105579688</v>
      </c>
      <c r="I304" s="101">
        <f t="shared" si="16"/>
        <v>45177.574999999997</v>
      </c>
      <c r="J304" s="102">
        <f t="shared" si="17"/>
        <v>9</v>
      </c>
      <c r="K304" s="103">
        <f t="shared" si="18"/>
        <v>8</v>
      </c>
      <c r="L304" s="83">
        <f t="shared" si="19"/>
        <v>13</v>
      </c>
    </row>
    <row r="305" spans="1:12" x14ac:dyDescent="0.25">
      <c r="A305" s="105">
        <v>45177.45208333333</v>
      </c>
      <c r="B305" s="107" t="s">
        <v>1568</v>
      </c>
      <c r="C305" s="99" t="s">
        <v>1569</v>
      </c>
      <c r="D305" s="99" t="s">
        <v>1570</v>
      </c>
      <c r="E305" s="93">
        <v>10</v>
      </c>
      <c r="F305" s="94" t="s">
        <v>1544</v>
      </c>
      <c r="G305" s="95" t="s">
        <v>128</v>
      </c>
      <c r="H305" s="94">
        <v>105246029</v>
      </c>
      <c r="I305" s="101">
        <f t="shared" si="16"/>
        <v>45177.45208333333</v>
      </c>
      <c r="J305" s="102">
        <f t="shared" si="17"/>
        <v>9</v>
      </c>
      <c r="K305" s="103">
        <f t="shared" si="18"/>
        <v>8</v>
      </c>
      <c r="L305" s="83">
        <f t="shared" si="19"/>
        <v>10</v>
      </c>
    </row>
    <row r="306" spans="1:12" x14ac:dyDescent="0.25">
      <c r="A306" s="105">
        <v>45177.463888888888</v>
      </c>
      <c r="B306" s="107" t="s">
        <v>1575</v>
      </c>
      <c r="C306" s="99" t="s">
        <v>1571</v>
      </c>
      <c r="D306" s="99" t="s">
        <v>1572</v>
      </c>
      <c r="E306" s="93">
        <v>100.01</v>
      </c>
      <c r="F306" s="94" t="s">
        <v>1543</v>
      </c>
      <c r="G306" s="95" t="s">
        <v>130</v>
      </c>
      <c r="H306" s="94">
        <v>105507094</v>
      </c>
      <c r="I306" s="101">
        <f t="shared" si="16"/>
        <v>45177.463888888888</v>
      </c>
      <c r="J306" s="102">
        <f t="shared" si="17"/>
        <v>9</v>
      </c>
      <c r="K306" s="103">
        <f t="shared" si="18"/>
        <v>8</v>
      </c>
      <c r="L306" s="83">
        <f t="shared" si="19"/>
        <v>11</v>
      </c>
    </row>
    <row r="307" spans="1:12" x14ac:dyDescent="0.25">
      <c r="A307" s="105">
        <v>45177.551388888889</v>
      </c>
      <c r="B307" s="107" t="s">
        <v>1582</v>
      </c>
      <c r="C307" s="99" t="s">
        <v>1573</v>
      </c>
      <c r="D307" s="99" t="s">
        <v>1574</v>
      </c>
      <c r="E307" s="93">
        <v>43.16</v>
      </c>
      <c r="F307" s="94" t="s">
        <v>1543</v>
      </c>
      <c r="G307" s="95" t="s">
        <v>132</v>
      </c>
      <c r="H307" s="94">
        <v>105619792</v>
      </c>
      <c r="I307" s="101">
        <f t="shared" si="16"/>
        <v>45177.551388888889</v>
      </c>
      <c r="J307" s="102">
        <f t="shared" si="17"/>
        <v>9</v>
      </c>
      <c r="K307" s="103">
        <f t="shared" si="18"/>
        <v>8</v>
      </c>
      <c r="L307" s="83">
        <f t="shared" si="19"/>
        <v>13</v>
      </c>
    </row>
    <row r="308" spans="1:12" x14ac:dyDescent="0.25">
      <c r="A308" s="105">
        <v>45177.480555555558</v>
      </c>
      <c r="B308" s="107" t="s">
        <v>1586</v>
      </c>
      <c r="C308" s="99" t="s">
        <v>1576</v>
      </c>
      <c r="D308" s="99" t="s">
        <v>1577</v>
      </c>
      <c r="E308" s="93">
        <v>60</v>
      </c>
      <c r="F308" s="94" t="s">
        <v>1543</v>
      </c>
      <c r="G308" s="95" t="s">
        <v>134</v>
      </c>
      <c r="H308" s="94">
        <v>104542745</v>
      </c>
      <c r="I308" s="101">
        <f t="shared" si="16"/>
        <v>45177.480555555558</v>
      </c>
      <c r="J308" s="102">
        <f t="shared" si="17"/>
        <v>9</v>
      </c>
      <c r="K308" s="103">
        <f t="shared" si="18"/>
        <v>8</v>
      </c>
      <c r="L308" s="83">
        <f t="shared" si="19"/>
        <v>11</v>
      </c>
    </row>
    <row r="309" spans="1:12" x14ac:dyDescent="0.25">
      <c r="A309" s="105">
        <v>45177.688194444447</v>
      </c>
      <c r="B309" s="107" t="s">
        <v>1589</v>
      </c>
      <c r="C309" s="99" t="s">
        <v>1578</v>
      </c>
      <c r="D309" s="99" t="s">
        <v>1579</v>
      </c>
      <c r="E309" s="93">
        <v>64</v>
      </c>
      <c r="F309" s="94" t="s">
        <v>1543</v>
      </c>
      <c r="G309" s="95" t="s">
        <v>136</v>
      </c>
      <c r="H309" s="94">
        <v>104849847</v>
      </c>
      <c r="I309" s="101">
        <f t="shared" si="16"/>
        <v>45177.688194444447</v>
      </c>
      <c r="J309" s="102">
        <f t="shared" si="17"/>
        <v>9</v>
      </c>
      <c r="K309" s="103">
        <f t="shared" si="18"/>
        <v>8</v>
      </c>
      <c r="L309" s="83">
        <f t="shared" si="19"/>
        <v>16</v>
      </c>
    </row>
    <row r="310" spans="1:12" x14ac:dyDescent="0.25">
      <c r="A310" s="105">
        <v>45177.736111111109</v>
      </c>
      <c r="B310" s="107" t="s">
        <v>1590</v>
      </c>
      <c r="C310" s="99" t="s">
        <v>1580</v>
      </c>
      <c r="D310" s="99" t="s">
        <v>1581</v>
      </c>
      <c r="E310" s="93">
        <v>150</v>
      </c>
      <c r="F310" s="94" t="s">
        <v>1543</v>
      </c>
      <c r="G310" s="95" t="s">
        <v>138</v>
      </c>
      <c r="H310" s="94">
        <v>103365855</v>
      </c>
      <c r="I310" s="101">
        <f t="shared" si="16"/>
        <v>45177.736111111109</v>
      </c>
      <c r="J310" s="102">
        <f t="shared" si="17"/>
        <v>9</v>
      </c>
      <c r="K310" s="103">
        <f t="shared" si="18"/>
        <v>8</v>
      </c>
      <c r="L310" s="83">
        <f t="shared" si="19"/>
        <v>17</v>
      </c>
    </row>
    <row r="311" spans="1:12" x14ac:dyDescent="0.25">
      <c r="A311" s="105">
        <v>45177.761111111111</v>
      </c>
      <c r="B311" s="107" t="s">
        <v>1591</v>
      </c>
      <c r="C311" s="99" t="s">
        <v>1548</v>
      </c>
      <c r="D311" s="99" t="s">
        <v>1549</v>
      </c>
      <c r="E311" s="93">
        <v>75.37</v>
      </c>
      <c r="F311" s="94" t="s">
        <v>1543</v>
      </c>
      <c r="G311" s="95" t="s">
        <v>140</v>
      </c>
      <c r="H311" s="94">
        <v>105153839</v>
      </c>
      <c r="I311" s="101">
        <f t="shared" si="16"/>
        <v>45177.761111111111</v>
      </c>
      <c r="J311" s="102">
        <f t="shared" si="17"/>
        <v>9</v>
      </c>
      <c r="K311" s="103">
        <f t="shared" si="18"/>
        <v>8</v>
      </c>
      <c r="L311" s="83">
        <f t="shared" si="19"/>
        <v>18</v>
      </c>
    </row>
    <row r="312" spans="1:12" x14ac:dyDescent="0.25">
      <c r="A312" s="105">
        <v>45177.559027777781</v>
      </c>
      <c r="B312" s="107" t="s">
        <v>1592</v>
      </c>
      <c r="C312" s="99" t="s">
        <v>1583</v>
      </c>
      <c r="D312" s="99" t="s">
        <v>1574</v>
      </c>
      <c r="E312" s="93">
        <v>121</v>
      </c>
      <c r="F312" s="94" t="s">
        <v>1543</v>
      </c>
      <c r="G312" s="95" t="s">
        <v>142</v>
      </c>
      <c r="H312" s="94">
        <v>102221822</v>
      </c>
      <c r="I312" s="101">
        <f t="shared" si="16"/>
        <v>45177.559027777781</v>
      </c>
      <c r="J312" s="102">
        <f t="shared" si="17"/>
        <v>9</v>
      </c>
      <c r="K312" s="103">
        <f t="shared" si="18"/>
        <v>8</v>
      </c>
      <c r="L312" s="83">
        <f t="shared" si="19"/>
        <v>13</v>
      </c>
    </row>
    <row r="313" spans="1:12" x14ac:dyDescent="0.25">
      <c r="A313" s="105">
        <v>45177.760416666664</v>
      </c>
      <c r="B313" s="107" t="s">
        <v>1593</v>
      </c>
      <c r="C313" s="99" t="s">
        <v>1584</v>
      </c>
      <c r="D313" s="99" t="s">
        <v>1585</v>
      </c>
      <c r="E313" s="93">
        <v>60.77</v>
      </c>
      <c r="F313" s="94" t="s">
        <v>1543</v>
      </c>
      <c r="G313" s="95" t="s">
        <v>146</v>
      </c>
      <c r="H313" s="94">
        <v>103508921</v>
      </c>
      <c r="I313" s="101">
        <f t="shared" si="16"/>
        <v>45177.760416666664</v>
      </c>
      <c r="J313" s="102">
        <f t="shared" si="17"/>
        <v>9</v>
      </c>
      <c r="K313" s="103">
        <f t="shared" si="18"/>
        <v>8</v>
      </c>
      <c r="L313" s="83">
        <f t="shared" si="19"/>
        <v>18</v>
      </c>
    </row>
    <row r="314" spans="1:12" x14ac:dyDescent="0.25">
      <c r="A314" s="105">
        <v>45177.763888888891</v>
      </c>
      <c r="B314" s="107" t="s">
        <v>1594</v>
      </c>
      <c r="C314" s="99" t="s">
        <v>1557</v>
      </c>
      <c r="D314" s="99" t="s">
        <v>1558</v>
      </c>
      <c r="E314" s="93">
        <v>99</v>
      </c>
      <c r="F314" s="94" t="s">
        <v>1543</v>
      </c>
      <c r="G314" s="95" t="s">
        <v>148</v>
      </c>
      <c r="H314" s="94">
        <v>104302391</v>
      </c>
      <c r="I314" s="101">
        <f t="shared" si="16"/>
        <v>45177.763888888891</v>
      </c>
      <c r="J314" s="102">
        <f t="shared" si="17"/>
        <v>9</v>
      </c>
      <c r="K314" s="103">
        <f t="shared" si="18"/>
        <v>8</v>
      </c>
      <c r="L314" s="83">
        <f t="shared" si="19"/>
        <v>18</v>
      </c>
    </row>
    <row r="315" spans="1:12" x14ac:dyDescent="0.25">
      <c r="A315" s="105">
        <v>45177.707638888889</v>
      </c>
      <c r="B315" s="107" t="s">
        <v>1595</v>
      </c>
      <c r="C315" s="99" t="s">
        <v>1587</v>
      </c>
      <c r="D315" s="99" t="s">
        <v>1588</v>
      </c>
      <c r="E315" s="93">
        <v>94</v>
      </c>
      <c r="F315" s="94" t="s">
        <v>1544</v>
      </c>
      <c r="G315" s="95" t="s">
        <v>150</v>
      </c>
      <c r="H315" s="94">
        <v>105192100</v>
      </c>
      <c r="I315" s="101">
        <f t="shared" si="16"/>
        <v>45177.707638888889</v>
      </c>
      <c r="J315" s="102">
        <f t="shared" si="17"/>
        <v>9</v>
      </c>
      <c r="K315" s="103">
        <f t="shared" si="18"/>
        <v>8</v>
      </c>
      <c r="L315" s="83">
        <f t="shared" si="19"/>
        <v>16</v>
      </c>
    </row>
    <row r="316" spans="1:12" x14ac:dyDescent="0.25">
      <c r="A316" s="105">
        <v>45177.443749999999</v>
      </c>
      <c r="B316" s="107" t="s">
        <v>1597</v>
      </c>
      <c r="C316" s="99" t="s">
        <v>1564</v>
      </c>
      <c r="D316" s="99" t="s">
        <v>1565</v>
      </c>
      <c r="E316" s="93">
        <v>73.94</v>
      </c>
      <c r="F316" s="94" t="s">
        <v>1543</v>
      </c>
      <c r="G316" s="95" t="s">
        <v>152</v>
      </c>
      <c r="H316" s="94">
        <v>104978678</v>
      </c>
      <c r="I316" s="101">
        <f t="shared" si="16"/>
        <v>45177.443749999999</v>
      </c>
      <c r="J316" s="102">
        <f t="shared" si="17"/>
        <v>9</v>
      </c>
      <c r="K316" s="103">
        <f t="shared" si="18"/>
        <v>8</v>
      </c>
      <c r="L316" s="83">
        <f t="shared" si="19"/>
        <v>10</v>
      </c>
    </row>
    <row r="317" spans="1:12" x14ac:dyDescent="0.25">
      <c r="A317" s="105">
        <v>45177.440972222219</v>
      </c>
      <c r="B317" s="107" t="s">
        <v>1547</v>
      </c>
      <c r="C317" s="99" t="s">
        <v>1548</v>
      </c>
      <c r="D317" s="99" t="s">
        <v>1549</v>
      </c>
      <c r="E317" s="93">
        <v>100</v>
      </c>
      <c r="F317" s="94" t="s">
        <v>1543</v>
      </c>
      <c r="G317" s="95" t="s">
        <v>154</v>
      </c>
      <c r="H317" s="94">
        <v>104335098</v>
      </c>
      <c r="I317" s="101">
        <f t="shared" si="16"/>
        <v>45177.440972222219</v>
      </c>
      <c r="J317" s="102">
        <f t="shared" si="17"/>
        <v>9</v>
      </c>
      <c r="K317" s="103">
        <f t="shared" si="18"/>
        <v>8</v>
      </c>
      <c r="L317" s="83">
        <f t="shared" si="19"/>
        <v>10</v>
      </c>
    </row>
    <row r="318" spans="1:12" x14ac:dyDescent="0.25">
      <c r="A318" s="105">
        <v>45177.634027777778</v>
      </c>
      <c r="B318" s="107" t="s">
        <v>1554</v>
      </c>
      <c r="C318" s="99" t="s">
        <v>1550</v>
      </c>
      <c r="D318" s="99" t="s">
        <v>1551</v>
      </c>
      <c r="E318" s="93">
        <v>86</v>
      </c>
      <c r="F318" s="94" t="s">
        <v>1543</v>
      </c>
      <c r="G318" s="95" t="s">
        <v>156</v>
      </c>
      <c r="H318" s="94">
        <v>104127887</v>
      </c>
      <c r="I318" s="101">
        <f t="shared" si="16"/>
        <v>45177.634027777778</v>
      </c>
      <c r="J318" s="102">
        <f t="shared" si="17"/>
        <v>9</v>
      </c>
      <c r="K318" s="103">
        <f t="shared" si="18"/>
        <v>8</v>
      </c>
      <c r="L318" s="83">
        <f t="shared" si="19"/>
        <v>15</v>
      </c>
    </row>
    <row r="319" spans="1:12" x14ac:dyDescent="0.25">
      <c r="A319" s="105">
        <v>45177.480555555558</v>
      </c>
      <c r="B319" s="107" t="s">
        <v>1561</v>
      </c>
      <c r="C319" s="99" t="s">
        <v>1562</v>
      </c>
      <c r="D319" s="99" t="s">
        <v>1563</v>
      </c>
      <c r="E319" s="93">
        <v>100</v>
      </c>
      <c r="F319" s="94" t="s">
        <v>1544</v>
      </c>
      <c r="G319" s="95" t="s">
        <v>159</v>
      </c>
      <c r="H319" s="94">
        <v>103979658</v>
      </c>
      <c r="I319" s="101">
        <f t="shared" si="16"/>
        <v>45177.480555555558</v>
      </c>
      <c r="J319" s="102">
        <f t="shared" si="17"/>
        <v>9</v>
      </c>
      <c r="K319" s="103">
        <f t="shared" si="18"/>
        <v>8</v>
      </c>
      <c r="L319" s="83">
        <f t="shared" si="19"/>
        <v>11</v>
      </c>
    </row>
    <row r="320" spans="1:12" x14ac:dyDescent="0.25">
      <c r="A320" s="105">
        <v>45177.622916666667</v>
      </c>
      <c r="B320" s="107" t="s">
        <v>1568</v>
      </c>
      <c r="C320" s="99" t="s">
        <v>1552</v>
      </c>
      <c r="D320" s="99" t="s">
        <v>1553</v>
      </c>
      <c r="E320" s="93">
        <v>9</v>
      </c>
      <c r="F320" s="94" t="s">
        <v>1543</v>
      </c>
      <c r="G320" s="95" t="s">
        <v>161</v>
      </c>
      <c r="H320" s="94">
        <v>103334373</v>
      </c>
      <c r="I320" s="101">
        <f t="shared" si="16"/>
        <v>45177.622916666667</v>
      </c>
      <c r="J320" s="102">
        <f t="shared" si="17"/>
        <v>9</v>
      </c>
      <c r="K320" s="103">
        <f t="shared" si="18"/>
        <v>8</v>
      </c>
      <c r="L320" s="83">
        <f t="shared" si="19"/>
        <v>14</v>
      </c>
    </row>
    <row r="321" spans="1:12" x14ac:dyDescent="0.25">
      <c r="A321" s="105">
        <v>45177.75277777778</v>
      </c>
      <c r="B321" s="107" t="s">
        <v>1575</v>
      </c>
      <c r="C321" s="99" t="s">
        <v>1555</v>
      </c>
      <c r="D321" s="99" t="s">
        <v>1556</v>
      </c>
      <c r="E321" s="93">
        <v>91.16</v>
      </c>
      <c r="F321" s="94" t="s">
        <v>1543</v>
      </c>
      <c r="G321" s="95" t="s">
        <v>163</v>
      </c>
      <c r="H321" s="94">
        <v>105666878</v>
      </c>
      <c r="I321" s="101">
        <f t="shared" si="16"/>
        <v>45177.75277777778</v>
      </c>
      <c r="J321" s="102">
        <f t="shared" si="17"/>
        <v>9</v>
      </c>
      <c r="K321" s="103">
        <f t="shared" si="18"/>
        <v>8</v>
      </c>
      <c r="L321" s="83">
        <f t="shared" si="19"/>
        <v>18</v>
      </c>
    </row>
    <row r="322" spans="1:12" x14ac:dyDescent="0.25">
      <c r="A322" s="105">
        <v>45177.493055555555</v>
      </c>
      <c r="B322" s="107" t="s">
        <v>1582</v>
      </c>
      <c r="C322" s="99" t="s">
        <v>1559</v>
      </c>
      <c r="D322" s="99" t="s">
        <v>1560</v>
      </c>
      <c r="E322" s="93">
        <v>81.849999999999994</v>
      </c>
      <c r="F322" s="94" t="s">
        <v>1543</v>
      </c>
      <c r="G322" s="95" t="s">
        <v>165</v>
      </c>
      <c r="H322" s="94">
        <v>101777637</v>
      </c>
      <c r="I322" s="101">
        <f t="shared" si="16"/>
        <v>45177.493055555555</v>
      </c>
      <c r="J322" s="102">
        <f t="shared" si="17"/>
        <v>9</v>
      </c>
      <c r="K322" s="103">
        <f t="shared" si="18"/>
        <v>8</v>
      </c>
      <c r="L322" s="83">
        <f t="shared" si="19"/>
        <v>11</v>
      </c>
    </row>
    <row r="323" spans="1:12" x14ac:dyDescent="0.25">
      <c r="A323" s="105">
        <v>45177.673611111109</v>
      </c>
      <c r="B323" s="107" t="s">
        <v>1586</v>
      </c>
      <c r="C323" s="99" t="s">
        <v>1548</v>
      </c>
      <c r="D323" s="99" t="s">
        <v>1549</v>
      </c>
      <c r="E323" s="93">
        <v>69.23</v>
      </c>
      <c r="F323" s="94" t="s">
        <v>1543</v>
      </c>
      <c r="G323" s="95" t="s">
        <v>167</v>
      </c>
      <c r="H323" s="94">
        <v>105548239</v>
      </c>
      <c r="I323" s="101">
        <f t="shared" ref="I323:I386" si="20">A323</f>
        <v>45177.673611111109</v>
      </c>
      <c r="J323" s="102">
        <f t="shared" ref="J323:J386" si="21">MONTH(A323)</f>
        <v>9</v>
      </c>
      <c r="K323" s="103">
        <f t="shared" ref="K323:K386" si="22">DAY(A323)</f>
        <v>8</v>
      </c>
      <c r="L323" s="83">
        <f t="shared" ref="L323:L386" si="23">HOUR(A323)</f>
        <v>16</v>
      </c>
    </row>
    <row r="324" spans="1:12" x14ac:dyDescent="0.25">
      <c r="A324" s="105">
        <v>45177.57916666667</v>
      </c>
      <c r="B324" s="107" t="s">
        <v>1589</v>
      </c>
      <c r="C324" s="99" t="s">
        <v>1566</v>
      </c>
      <c r="D324" s="99" t="s">
        <v>1567</v>
      </c>
      <c r="E324" s="93">
        <v>50</v>
      </c>
      <c r="F324" s="94" t="s">
        <v>1543</v>
      </c>
      <c r="G324" s="95" t="s">
        <v>169</v>
      </c>
      <c r="H324" s="94">
        <v>103318778</v>
      </c>
      <c r="I324" s="101">
        <f t="shared" si="20"/>
        <v>45177.57916666667</v>
      </c>
      <c r="J324" s="102">
        <f t="shared" si="21"/>
        <v>9</v>
      </c>
      <c r="K324" s="103">
        <f t="shared" si="22"/>
        <v>8</v>
      </c>
      <c r="L324" s="83">
        <f t="shared" si="23"/>
        <v>13</v>
      </c>
    </row>
    <row r="325" spans="1:12" x14ac:dyDescent="0.25">
      <c r="A325" s="105">
        <v>45177.59097222222</v>
      </c>
      <c r="B325" s="107" t="s">
        <v>1590</v>
      </c>
      <c r="C325" s="99" t="s">
        <v>1564</v>
      </c>
      <c r="D325" s="99" t="s">
        <v>1565</v>
      </c>
      <c r="E325" s="93">
        <v>162</v>
      </c>
      <c r="F325" s="94" t="s">
        <v>1543</v>
      </c>
      <c r="G325" s="95" t="s">
        <v>171</v>
      </c>
      <c r="H325" s="94">
        <v>101217722</v>
      </c>
      <c r="I325" s="101">
        <f t="shared" si="20"/>
        <v>45177.59097222222</v>
      </c>
      <c r="J325" s="102">
        <f t="shared" si="21"/>
        <v>9</v>
      </c>
      <c r="K325" s="103">
        <f t="shared" si="22"/>
        <v>8</v>
      </c>
      <c r="L325" s="83">
        <f t="shared" si="23"/>
        <v>14</v>
      </c>
    </row>
    <row r="326" spans="1:12" x14ac:dyDescent="0.25">
      <c r="A326" s="105">
        <v>45177.669444444444</v>
      </c>
      <c r="B326" s="107" t="s">
        <v>1591</v>
      </c>
      <c r="C326" s="99" t="s">
        <v>1548</v>
      </c>
      <c r="D326" s="99" t="s">
        <v>1549</v>
      </c>
      <c r="E326" s="93">
        <v>90</v>
      </c>
      <c r="F326" s="94" t="s">
        <v>1543</v>
      </c>
      <c r="G326" s="95" t="s">
        <v>173</v>
      </c>
      <c r="H326" s="94">
        <v>104417164</v>
      </c>
      <c r="I326" s="101">
        <f t="shared" si="20"/>
        <v>45177.669444444444</v>
      </c>
      <c r="J326" s="102">
        <f t="shared" si="21"/>
        <v>9</v>
      </c>
      <c r="K326" s="103">
        <f t="shared" si="22"/>
        <v>8</v>
      </c>
      <c r="L326" s="83">
        <f t="shared" si="23"/>
        <v>16</v>
      </c>
    </row>
    <row r="327" spans="1:12" x14ac:dyDescent="0.25">
      <c r="A327" s="105">
        <v>45177.773611111108</v>
      </c>
      <c r="B327" s="107" t="s">
        <v>1592</v>
      </c>
      <c r="C327" s="99" t="s">
        <v>1550</v>
      </c>
      <c r="D327" s="99" t="s">
        <v>1551</v>
      </c>
      <c r="E327" s="93">
        <v>50</v>
      </c>
      <c r="F327" s="94" t="s">
        <v>1543</v>
      </c>
      <c r="G327" s="95" t="s">
        <v>175</v>
      </c>
      <c r="H327" s="94">
        <v>103067200</v>
      </c>
      <c r="I327" s="101">
        <f t="shared" si="20"/>
        <v>45177.773611111108</v>
      </c>
      <c r="J327" s="102">
        <f t="shared" si="21"/>
        <v>9</v>
      </c>
      <c r="K327" s="103">
        <f t="shared" si="22"/>
        <v>8</v>
      </c>
      <c r="L327" s="83">
        <f t="shared" si="23"/>
        <v>18</v>
      </c>
    </row>
    <row r="328" spans="1:12" x14ac:dyDescent="0.25">
      <c r="A328" s="105">
        <v>45177.713888888888</v>
      </c>
      <c r="B328" s="107" t="s">
        <v>1593</v>
      </c>
      <c r="C328" s="99" t="s">
        <v>1557</v>
      </c>
      <c r="D328" s="99" t="s">
        <v>1558</v>
      </c>
      <c r="E328" s="93">
        <v>90</v>
      </c>
      <c r="F328" s="94" t="s">
        <v>1543</v>
      </c>
      <c r="G328" s="95" t="s">
        <v>177</v>
      </c>
      <c r="H328" s="94">
        <v>103211936</v>
      </c>
      <c r="I328" s="101">
        <f t="shared" si="20"/>
        <v>45177.713888888888</v>
      </c>
      <c r="J328" s="102">
        <f t="shared" si="21"/>
        <v>9</v>
      </c>
      <c r="K328" s="103">
        <f t="shared" si="22"/>
        <v>8</v>
      </c>
      <c r="L328" s="83">
        <f t="shared" si="23"/>
        <v>17</v>
      </c>
    </row>
    <row r="329" spans="1:12" x14ac:dyDescent="0.25">
      <c r="A329" s="105">
        <v>45177.423611111109</v>
      </c>
      <c r="B329" s="107" t="s">
        <v>1594</v>
      </c>
      <c r="C329" s="99" t="s">
        <v>1562</v>
      </c>
      <c r="D329" s="99" t="s">
        <v>1563</v>
      </c>
      <c r="E329" s="93">
        <v>52</v>
      </c>
      <c r="F329" s="94" t="s">
        <v>1543</v>
      </c>
      <c r="G329" s="95" t="s">
        <v>179</v>
      </c>
      <c r="H329" s="94">
        <v>102305470</v>
      </c>
      <c r="I329" s="101">
        <f t="shared" si="20"/>
        <v>45177.423611111109</v>
      </c>
      <c r="J329" s="102">
        <f t="shared" si="21"/>
        <v>9</v>
      </c>
      <c r="K329" s="103">
        <f t="shared" si="22"/>
        <v>8</v>
      </c>
      <c r="L329" s="83">
        <f t="shared" si="23"/>
        <v>10</v>
      </c>
    </row>
    <row r="330" spans="1:12" x14ac:dyDescent="0.25">
      <c r="A330" s="105">
        <v>45177.6875</v>
      </c>
      <c r="B330" s="107" t="s">
        <v>1595</v>
      </c>
      <c r="C330" s="99" t="s">
        <v>1576</v>
      </c>
      <c r="D330" s="99" t="s">
        <v>1577</v>
      </c>
      <c r="E330" s="93">
        <v>26.88</v>
      </c>
      <c r="F330" s="94" t="s">
        <v>1543</v>
      </c>
      <c r="G330" s="95" t="s">
        <v>181</v>
      </c>
      <c r="H330" s="94">
        <v>105693055</v>
      </c>
      <c r="I330" s="101">
        <f t="shared" si="20"/>
        <v>45177.6875</v>
      </c>
      <c r="J330" s="102">
        <f t="shared" si="21"/>
        <v>9</v>
      </c>
      <c r="K330" s="103">
        <f t="shared" si="22"/>
        <v>8</v>
      </c>
      <c r="L330" s="83">
        <f t="shared" si="23"/>
        <v>16</v>
      </c>
    </row>
    <row r="331" spans="1:12" x14ac:dyDescent="0.25">
      <c r="A331" s="105">
        <v>45177.552083333336</v>
      </c>
      <c r="B331" s="107" t="s">
        <v>1597</v>
      </c>
      <c r="C331" s="99" t="s">
        <v>1569</v>
      </c>
      <c r="D331" s="99" t="s">
        <v>1570</v>
      </c>
      <c r="E331" s="93">
        <v>28.76</v>
      </c>
      <c r="F331" s="94" t="s">
        <v>1544</v>
      </c>
      <c r="G331" s="95" t="s">
        <v>183</v>
      </c>
      <c r="H331" s="94">
        <v>105276213</v>
      </c>
      <c r="I331" s="101">
        <f t="shared" si="20"/>
        <v>45177.552083333336</v>
      </c>
      <c r="J331" s="102">
        <f t="shared" si="21"/>
        <v>9</v>
      </c>
      <c r="K331" s="103">
        <f t="shared" si="22"/>
        <v>8</v>
      </c>
      <c r="L331" s="83">
        <f t="shared" si="23"/>
        <v>13</v>
      </c>
    </row>
    <row r="332" spans="1:12" x14ac:dyDescent="0.25">
      <c r="A332" s="105">
        <v>45177.714583333334</v>
      </c>
      <c r="B332" s="107" t="s">
        <v>1547</v>
      </c>
      <c r="C332" s="99" t="s">
        <v>1548</v>
      </c>
      <c r="D332" s="99" t="s">
        <v>1549</v>
      </c>
      <c r="E332" s="93">
        <v>92.86</v>
      </c>
      <c r="F332" s="94" t="s">
        <v>1544</v>
      </c>
      <c r="G332" s="95" t="s">
        <v>186</v>
      </c>
      <c r="H332" s="94">
        <v>104625452</v>
      </c>
      <c r="I332" s="101">
        <f t="shared" si="20"/>
        <v>45177.714583333334</v>
      </c>
      <c r="J332" s="102">
        <f t="shared" si="21"/>
        <v>9</v>
      </c>
      <c r="K332" s="103">
        <f t="shared" si="22"/>
        <v>8</v>
      </c>
      <c r="L332" s="83">
        <f t="shared" si="23"/>
        <v>17</v>
      </c>
    </row>
    <row r="333" spans="1:12" x14ac:dyDescent="0.25">
      <c r="A333" s="105">
        <v>45177.568749999999</v>
      </c>
      <c r="B333" s="107" t="s">
        <v>1554</v>
      </c>
      <c r="C333" s="99" t="s">
        <v>1559</v>
      </c>
      <c r="D333" s="99" t="s">
        <v>1560</v>
      </c>
      <c r="E333" s="93">
        <v>40</v>
      </c>
      <c r="F333" s="94" t="s">
        <v>1543</v>
      </c>
      <c r="G333" s="95" t="s">
        <v>188</v>
      </c>
      <c r="H333" s="94">
        <v>104965801</v>
      </c>
      <c r="I333" s="101">
        <f t="shared" si="20"/>
        <v>45177.568749999999</v>
      </c>
      <c r="J333" s="102">
        <f t="shared" si="21"/>
        <v>9</v>
      </c>
      <c r="K333" s="103">
        <f t="shared" si="22"/>
        <v>8</v>
      </c>
      <c r="L333" s="83">
        <f t="shared" si="23"/>
        <v>13</v>
      </c>
    </row>
    <row r="334" spans="1:12" x14ac:dyDescent="0.25">
      <c r="A334" s="105">
        <v>45177.486111111109</v>
      </c>
      <c r="B334" s="107" t="s">
        <v>1561</v>
      </c>
      <c r="C334" s="99" t="s">
        <v>1571</v>
      </c>
      <c r="D334" s="99" t="s">
        <v>1572</v>
      </c>
      <c r="E334" s="93">
        <v>311.05</v>
      </c>
      <c r="F334" s="94" t="s">
        <v>1543</v>
      </c>
      <c r="G334" s="95" t="s">
        <v>190</v>
      </c>
      <c r="H334" s="94">
        <v>102734808</v>
      </c>
      <c r="I334" s="101">
        <f t="shared" si="20"/>
        <v>45177.486111111109</v>
      </c>
      <c r="J334" s="102">
        <f t="shared" si="21"/>
        <v>9</v>
      </c>
      <c r="K334" s="103">
        <f t="shared" si="22"/>
        <v>8</v>
      </c>
      <c r="L334" s="83">
        <f t="shared" si="23"/>
        <v>11</v>
      </c>
    </row>
    <row r="335" spans="1:12" x14ac:dyDescent="0.25">
      <c r="A335" s="105">
        <v>45177.458333333336</v>
      </c>
      <c r="B335" s="107" t="s">
        <v>1568</v>
      </c>
      <c r="C335" s="99" t="s">
        <v>1550</v>
      </c>
      <c r="D335" s="99" t="s">
        <v>1551</v>
      </c>
      <c r="E335" s="93">
        <v>25</v>
      </c>
      <c r="F335" s="94" t="s">
        <v>1543</v>
      </c>
      <c r="G335" s="95" t="s">
        <v>192</v>
      </c>
      <c r="H335" s="94">
        <v>105222173</v>
      </c>
      <c r="I335" s="101">
        <f t="shared" si="20"/>
        <v>45177.458333333336</v>
      </c>
      <c r="J335" s="102">
        <f t="shared" si="21"/>
        <v>9</v>
      </c>
      <c r="K335" s="103">
        <f t="shared" si="22"/>
        <v>8</v>
      </c>
      <c r="L335" s="83">
        <f t="shared" si="23"/>
        <v>11</v>
      </c>
    </row>
    <row r="336" spans="1:12" x14ac:dyDescent="0.25">
      <c r="A336" s="105">
        <v>45177.501388888886</v>
      </c>
      <c r="B336" s="107" t="s">
        <v>1575</v>
      </c>
      <c r="C336" s="99" t="s">
        <v>1557</v>
      </c>
      <c r="D336" s="99" t="s">
        <v>1558</v>
      </c>
      <c r="E336" s="93">
        <v>55</v>
      </c>
      <c r="F336" s="94" t="s">
        <v>1543</v>
      </c>
      <c r="G336" s="95" t="s">
        <v>194</v>
      </c>
      <c r="H336" s="94">
        <v>103969842</v>
      </c>
      <c r="I336" s="101">
        <f t="shared" si="20"/>
        <v>45177.501388888886</v>
      </c>
      <c r="J336" s="102">
        <f t="shared" si="21"/>
        <v>9</v>
      </c>
      <c r="K336" s="103">
        <f t="shared" si="22"/>
        <v>8</v>
      </c>
      <c r="L336" s="83">
        <f t="shared" si="23"/>
        <v>12</v>
      </c>
    </row>
    <row r="337" spans="1:12" x14ac:dyDescent="0.25">
      <c r="A337" s="105">
        <v>45177.609722222223</v>
      </c>
      <c r="B337" s="107" t="s">
        <v>1582</v>
      </c>
      <c r="C337" s="99" t="s">
        <v>1555</v>
      </c>
      <c r="D337" s="99" t="s">
        <v>1556</v>
      </c>
      <c r="E337" s="93">
        <v>97</v>
      </c>
      <c r="F337" s="94" t="s">
        <v>1544</v>
      </c>
      <c r="G337" s="95" t="s">
        <v>196</v>
      </c>
      <c r="H337" s="94">
        <v>105236970</v>
      </c>
      <c r="I337" s="101">
        <f t="shared" si="20"/>
        <v>45177.609722222223</v>
      </c>
      <c r="J337" s="102">
        <f t="shared" si="21"/>
        <v>9</v>
      </c>
      <c r="K337" s="103">
        <f t="shared" si="22"/>
        <v>8</v>
      </c>
      <c r="L337" s="83">
        <f t="shared" si="23"/>
        <v>14</v>
      </c>
    </row>
    <row r="338" spans="1:12" x14ac:dyDescent="0.25">
      <c r="A338" s="105">
        <v>45177.479861111111</v>
      </c>
      <c r="B338" s="107" t="s">
        <v>1586</v>
      </c>
      <c r="C338" s="99" t="s">
        <v>1548</v>
      </c>
      <c r="D338" s="99" t="s">
        <v>1549</v>
      </c>
      <c r="E338" s="93">
        <v>174</v>
      </c>
      <c r="F338" s="94" t="s">
        <v>1544</v>
      </c>
      <c r="G338" s="95" t="s">
        <v>198</v>
      </c>
      <c r="H338" s="94">
        <v>103979658</v>
      </c>
      <c r="I338" s="101">
        <f t="shared" si="20"/>
        <v>45177.479861111111</v>
      </c>
      <c r="J338" s="102">
        <f t="shared" si="21"/>
        <v>9</v>
      </c>
      <c r="K338" s="103">
        <f t="shared" si="22"/>
        <v>8</v>
      </c>
      <c r="L338" s="83">
        <f t="shared" si="23"/>
        <v>11</v>
      </c>
    </row>
    <row r="339" spans="1:12" x14ac:dyDescent="0.25">
      <c r="A339" s="105">
        <v>45177.677777777775</v>
      </c>
      <c r="B339" s="107" t="s">
        <v>1589</v>
      </c>
      <c r="C339" s="99" t="s">
        <v>1550</v>
      </c>
      <c r="D339" s="99" t="s">
        <v>1551</v>
      </c>
      <c r="E339" s="93">
        <v>20</v>
      </c>
      <c r="F339" s="94" t="s">
        <v>1544</v>
      </c>
      <c r="G339" s="95" t="s">
        <v>200</v>
      </c>
      <c r="H339" s="94">
        <v>104302391</v>
      </c>
      <c r="I339" s="101">
        <f t="shared" si="20"/>
        <v>45177.677777777775</v>
      </c>
      <c r="J339" s="102">
        <f t="shared" si="21"/>
        <v>9</v>
      </c>
      <c r="K339" s="103">
        <f t="shared" si="22"/>
        <v>8</v>
      </c>
      <c r="L339" s="83">
        <f t="shared" si="23"/>
        <v>16</v>
      </c>
    </row>
    <row r="340" spans="1:12" x14ac:dyDescent="0.25">
      <c r="A340" s="105">
        <v>45177.442361111112</v>
      </c>
      <c r="B340" s="107" t="s">
        <v>1590</v>
      </c>
      <c r="C340" s="99" t="s">
        <v>1552</v>
      </c>
      <c r="D340" s="99" t="s">
        <v>1553</v>
      </c>
      <c r="E340" s="93">
        <v>115</v>
      </c>
      <c r="F340" s="94" t="s">
        <v>1543</v>
      </c>
      <c r="G340" s="95" t="s">
        <v>202</v>
      </c>
      <c r="H340" s="94">
        <v>103771808</v>
      </c>
      <c r="I340" s="101">
        <f t="shared" si="20"/>
        <v>45177.442361111112</v>
      </c>
      <c r="J340" s="102">
        <f t="shared" si="21"/>
        <v>9</v>
      </c>
      <c r="K340" s="103">
        <f t="shared" si="22"/>
        <v>8</v>
      </c>
      <c r="L340" s="83">
        <f t="shared" si="23"/>
        <v>10</v>
      </c>
    </row>
    <row r="341" spans="1:12" x14ac:dyDescent="0.25">
      <c r="A341" s="105">
        <v>45177.598611111112</v>
      </c>
      <c r="B341" s="107" t="s">
        <v>1591</v>
      </c>
      <c r="C341" s="99" t="s">
        <v>1555</v>
      </c>
      <c r="D341" s="99" t="s">
        <v>1556</v>
      </c>
      <c r="E341" s="93">
        <v>91.71</v>
      </c>
      <c r="F341" s="94" t="s">
        <v>1543</v>
      </c>
      <c r="G341" s="95" t="s">
        <v>204</v>
      </c>
      <c r="H341" s="94">
        <v>103018409</v>
      </c>
      <c r="I341" s="101">
        <f t="shared" si="20"/>
        <v>45177.598611111112</v>
      </c>
      <c r="J341" s="102">
        <f t="shared" si="21"/>
        <v>9</v>
      </c>
      <c r="K341" s="103">
        <f t="shared" si="22"/>
        <v>8</v>
      </c>
      <c r="L341" s="83">
        <f t="shared" si="23"/>
        <v>14</v>
      </c>
    </row>
    <row r="342" spans="1:12" x14ac:dyDescent="0.25">
      <c r="A342" s="105">
        <v>45177.678472222222</v>
      </c>
      <c r="B342" s="107" t="s">
        <v>1592</v>
      </c>
      <c r="C342" s="99" t="s">
        <v>1557</v>
      </c>
      <c r="D342" s="99" t="s">
        <v>1558</v>
      </c>
      <c r="E342" s="93">
        <v>50</v>
      </c>
      <c r="F342" s="94" t="s">
        <v>1543</v>
      </c>
      <c r="G342" s="95" t="s">
        <v>206</v>
      </c>
      <c r="H342" s="94">
        <v>104702106</v>
      </c>
      <c r="I342" s="101">
        <f t="shared" si="20"/>
        <v>45177.678472222222</v>
      </c>
      <c r="J342" s="102">
        <f t="shared" si="21"/>
        <v>9</v>
      </c>
      <c r="K342" s="103">
        <f t="shared" si="22"/>
        <v>8</v>
      </c>
      <c r="L342" s="83">
        <f t="shared" si="23"/>
        <v>16</v>
      </c>
    </row>
    <row r="343" spans="1:12" x14ac:dyDescent="0.25">
      <c r="A343" s="105">
        <v>45177.651388888888</v>
      </c>
      <c r="B343" s="107" t="s">
        <v>1593</v>
      </c>
      <c r="C343" s="99" t="s">
        <v>1559</v>
      </c>
      <c r="D343" s="99" t="s">
        <v>1560</v>
      </c>
      <c r="E343" s="93">
        <v>61.03</v>
      </c>
      <c r="F343" s="94" t="s">
        <v>1543</v>
      </c>
      <c r="G343" s="95" t="s">
        <v>208</v>
      </c>
      <c r="H343" s="94">
        <v>101401256</v>
      </c>
      <c r="I343" s="101">
        <f t="shared" si="20"/>
        <v>45177.651388888888</v>
      </c>
      <c r="J343" s="102">
        <f t="shared" si="21"/>
        <v>9</v>
      </c>
      <c r="K343" s="103">
        <f t="shared" si="22"/>
        <v>8</v>
      </c>
      <c r="L343" s="83">
        <f t="shared" si="23"/>
        <v>15</v>
      </c>
    </row>
    <row r="344" spans="1:12" x14ac:dyDescent="0.25">
      <c r="A344" s="105">
        <v>45177.61041666667</v>
      </c>
      <c r="B344" s="107" t="s">
        <v>1594</v>
      </c>
      <c r="C344" s="99" t="s">
        <v>1562</v>
      </c>
      <c r="D344" s="99" t="s">
        <v>1563</v>
      </c>
      <c r="E344" s="93">
        <v>168.96</v>
      </c>
      <c r="F344" s="94" t="s">
        <v>1543</v>
      </c>
      <c r="G344" s="95" t="s">
        <v>210</v>
      </c>
      <c r="H344" s="94">
        <v>104845811</v>
      </c>
      <c r="I344" s="101">
        <f t="shared" si="20"/>
        <v>45177.61041666667</v>
      </c>
      <c r="J344" s="102">
        <f t="shared" si="21"/>
        <v>9</v>
      </c>
      <c r="K344" s="103">
        <f t="shared" si="22"/>
        <v>8</v>
      </c>
      <c r="L344" s="83">
        <f t="shared" si="23"/>
        <v>14</v>
      </c>
    </row>
    <row r="345" spans="1:12" x14ac:dyDescent="0.25">
      <c r="A345" s="105">
        <v>45177.59652777778</v>
      </c>
      <c r="B345" s="107" t="s">
        <v>1595</v>
      </c>
      <c r="C345" s="99" t="s">
        <v>1564</v>
      </c>
      <c r="D345" s="99" t="s">
        <v>1565</v>
      </c>
      <c r="E345" s="93">
        <v>152</v>
      </c>
      <c r="F345" s="94" t="s">
        <v>1543</v>
      </c>
      <c r="G345" s="95" t="s">
        <v>212</v>
      </c>
      <c r="H345" s="94">
        <v>103639171</v>
      </c>
      <c r="I345" s="101">
        <f t="shared" si="20"/>
        <v>45177.59652777778</v>
      </c>
      <c r="J345" s="102">
        <f t="shared" si="21"/>
        <v>9</v>
      </c>
      <c r="K345" s="103">
        <f t="shared" si="22"/>
        <v>8</v>
      </c>
      <c r="L345" s="83">
        <f t="shared" si="23"/>
        <v>14</v>
      </c>
    </row>
    <row r="346" spans="1:12" x14ac:dyDescent="0.25">
      <c r="A346" s="105">
        <v>45177.604861111111</v>
      </c>
      <c r="B346" s="107" t="s">
        <v>1597</v>
      </c>
      <c r="C346" s="99" t="s">
        <v>1566</v>
      </c>
      <c r="D346" s="99" t="s">
        <v>1567</v>
      </c>
      <c r="E346" s="93">
        <v>189</v>
      </c>
      <c r="F346" s="94" t="s">
        <v>1544</v>
      </c>
      <c r="G346" s="95" t="s">
        <v>214</v>
      </c>
      <c r="H346" s="94">
        <v>105279757</v>
      </c>
      <c r="I346" s="101">
        <f t="shared" si="20"/>
        <v>45177.604861111111</v>
      </c>
      <c r="J346" s="102">
        <f t="shared" si="21"/>
        <v>9</v>
      </c>
      <c r="K346" s="103">
        <f t="shared" si="22"/>
        <v>8</v>
      </c>
      <c r="L346" s="83">
        <f t="shared" si="23"/>
        <v>14</v>
      </c>
    </row>
    <row r="347" spans="1:12" x14ac:dyDescent="0.25">
      <c r="A347" s="105">
        <v>45177.566666666666</v>
      </c>
      <c r="B347" s="107" t="s">
        <v>1547</v>
      </c>
      <c r="C347" s="99" t="s">
        <v>1569</v>
      </c>
      <c r="D347" s="99" t="s">
        <v>1570</v>
      </c>
      <c r="E347" s="93">
        <v>20</v>
      </c>
      <c r="F347" s="94" t="s">
        <v>1543</v>
      </c>
      <c r="G347" s="95" t="s">
        <v>216</v>
      </c>
      <c r="H347" s="94">
        <v>104965801</v>
      </c>
      <c r="I347" s="101">
        <f t="shared" si="20"/>
        <v>45177.566666666666</v>
      </c>
      <c r="J347" s="102">
        <f t="shared" si="21"/>
        <v>9</v>
      </c>
      <c r="K347" s="103">
        <f t="shared" si="22"/>
        <v>8</v>
      </c>
      <c r="L347" s="83">
        <f t="shared" si="23"/>
        <v>13</v>
      </c>
    </row>
    <row r="348" spans="1:12" x14ac:dyDescent="0.25">
      <c r="A348" s="105">
        <v>45177.679861111108</v>
      </c>
      <c r="B348" s="107" t="s">
        <v>1554</v>
      </c>
      <c r="C348" s="99" t="s">
        <v>1571</v>
      </c>
      <c r="D348" s="99" t="s">
        <v>1572</v>
      </c>
      <c r="E348" s="93">
        <v>11</v>
      </c>
      <c r="F348" s="94" t="s">
        <v>1544</v>
      </c>
      <c r="G348" s="95" t="s">
        <v>218</v>
      </c>
      <c r="H348" s="94">
        <v>104702106</v>
      </c>
      <c r="I348" s="101">
        <f t="shared" si="20"/>
        <v>45177.679861111108</v>
      </c>
      <c r="J348" s="102">
        <f t="shared" si="21"/>
        <v>9</v>
      </c>
      <c r="K348" s="103">
        <f t="shared" si="22"/>
        <v>8</v>
      </c>
      <c r="L348" s="83">
        <f t="shared" si="23"/>
        <v>16</v>
      </c>
    </row>
    <row r="349" spans="1:12" x14ac:dyDescent="0.25">
      <c r="A349" s="105">
        <v>45177.536805555559</v>
      </c>
      <c r="B349" s="107" t="s">
        <v>1561</v>
      </c>
      <c r="C349" s="99" t="s">
        <v>1573</v>
      </c>
      <c r="D349" s="99" t="s">
        <v>1574</v>
      </c>
      <c r="E349" s="93">
        <v>164.63</v>
      </c>
      <c r="F349" s="94" t="s">
        <v>1544</v>
      </c>
      <c r="G349" s="95" t="s">
        <v>220</v>
      </c>
      <c r="H349" s="94">
        <v>104038492</v>
      </c>
      <c r="I349" s="101">
        <f t="shared" si="20"/>
        <v>45177.536805555559</v>
      </c>
      <c r="J349" s="102">
        <f t="shared" si="21"/>
        <v>9</v>
      </c>
      <c r="K349" s="103">
        <f t="shared" si="22"/>
        <v>8</v>
      </c>
      <c r="L349" s="83">
        <f t="shared" si="23"/>
        <v>12</v>
      </c>
    </row>
    <row r="350" spans="1:12" x14ac:dyDescent="0.25">
      <c r="A350" s="105">
        <v>45177.47152777778</v>
      </c>
      <c r="B350" s="107" t="s">
        <v>1568</v>
      </c>
      <c r="C350" s="99" t="s">
        <v>1576</v>
      </c>
      <c r="D350" s="99" t="s">
        <v>1577</v>
      </c>
      <c r="E350" s="93">
        <v>152</v>
      </c>
      <c r="F350" s="94" t="s">
        <v>1543</v>
      </c>
      <c r="G350" s="95" t="s">
        <v>222</v>
      </c>
      <c r="H350" s="94">
        <v>105093565</v>
      </c>
      <c r="I350" s="101">
        <f t="shared" si="20"/>
        <v>45177.47152777778</v>
      </c>
      <c r="J350" s="102">
        <f t="shared" si="21"/>
        <v>9</v>
      </c>
      <c r="K350" s="103">
        <f t="shared" si="22"/>
        <v>8</v>
      </c>
      <c r="L350" s="83">
        <f t="shared" si="23"/>
        <v>11</v>
      </c>
    </row>
    <row r="351" spans="1:12" x14ac:dyDescent="0.25">
      <c r="A351" s="105">
        <v>45177.724305555559</v>
      </c>
      <c r="B351" s="107" t="s">
        <v>1575</v>
      </c>
      <c r="C351" s="99" t="s">
        <v>1578</v>
      </c>
      <c r="D351" s="99" t="s">
        <v>1579</v>
      </c>
      <c r="E351" s="93">
        <v>35</v>
      </c>
      <c r="F351" s="94" t="s">
        <v>1543</v>
      </c>
      <c r="G351" s="95" t="s">
        <v>224</v>
      </c>
      <c r="H351" s="94">
        <v>104128299</v>
      </c>
      <c r="I351" s="101">
        <f t="shared" si="20"/>
        <v>45177.724305555559</v>
      </c>
      <c r="J351" s="102">
        <f t="shared" si="21"/>
        <v>9</v>
      </c>
      <c r="K351" s="103">
        <f t="shared" si="22"/>
        <v>8</v>
      </c>
      <c r="L351" s="83">
        <f t="shared" si="23"/>
        <v>17</v>
      </c>
    </row>
    <row r="352" spans="1:12" x14ac:dyDescent="0.25">
      <c r="A352" s="105">
        <v>45177.642361111109</v>
      </c>
      <c r="B352" s="107" t="s">
        <v>1582</v>
      </c>
      <c r="C352" s="99" t="s">
        <v>1580</v>
      </c>
      <c r="D352" s="99" t="s">
        <v>1581</v>
      </c>
      <c r="E352" s="93">
        <v>20</v>
      </c>
      <c r="F352" s="94" t="s">
        <v>1543</v>
      </c>
      <c r="G352" s="95" t="s">
        <v>226</v>
      </c>
      <c r="H352" s="94">
        <v>105516522</v>
      </c>
      <c r="I352" s="101">
        <f t="shared" si="20"/>
        <v>45177.642361111109</v>
      </c>
      <c r="J352" s="102">
        <f t="shared" si="21"/>
        <v>9</v>
      </c>
      <c r="K352" s="103">
        <f t="shared" si="22"/>
        <v>8</v>
      </c>
      <c r="L352" s="83">
        <f t="shared" si="23"/>
        <v>15</v>
      </c>
    </row>
    <row r="353" spans="1:12" x14ac:dyDescent="0.25">
      <c r="A353" s="105">
        <v>45177.547222222223</v>
      </c>
      <c r="B353" s="107" t="s">
        <v>1586</v>
      </c>
      <c r="C353" s="99" t="s">
        <v>1548</v>
      </c>
      <c r="D353" s="99" t="s">
        <v>1549</v>
      </c>
      <c r="E353" s="93">
        <v>42.65</v>
      </c>
      <c r="F353" s="94" t="s">
        <v>1543</v>
      </c>
      <c r="G353" s="95" t="s">
        <v>228</v>
      </c>
      <c r="H353" s="94">
        <v>104845680</v>
      </c>
      <c r="I353" s="101">
        <f t="shared" si="20"/>
        <v>45177.547222222223</v>
      </c>
      <c r="J353" s="102">
        <f t="shared" si="21"/>
        <v>9</v>
      </c>
      <c r="K353" s="103">
        <f t="shared" si="22"/>
        <v>8</v>
      </c>
      <c r="L353" s="83">
        <f t="shared" si="23"/>
        <v>13</v>
      </c>
    </row>
    <row r="354" spans="1:12" x14ac:dyDescent="0.25">
      <c r="A354" s="105">
        <v>45177.477777777778</v>
      </c>
      <c r="B354" s="107" t="s">
        <v>1589</v>
      </c>
      <c r="C354" s="99" t="s">
        <v>1583</v>
      </c>
      <c r="D354" s="99" t="s">
        <v>1574</v>
      </c>
      <c r="E354" s="93">
        <v>8.7799999999999994</v>
      </c>
      <c r="F354" s="94" t="s">
        <v>1544</v>
      </c>
      <c r="G354" s="95" t="s">
        <v>230</v>
      </c>
      <c r="H354" s="94">
        <v>104632198</v>
      </c>
      <c r="I354" s="101">
        <f t="shared" si="20"/>
        <v>45177.477777777778</v>
      </c>
      <c r="J354" s="102">
        <f t="shared" si="21"/>
        <v>9</v>
      </c>
      <c r="K354" s="103">
        <f t="shared" si="22"/>
        <v>8</v>
      </c>
      <c r="L354" s="83">
        <f t="shared" si="23"/>
        <v>11</v>
      </c>
    </row>
    <row r="355" spans="1:12" x14ac:dyDescent="0.25">
      <c r="A355" s="105">
        <v>45177.496527777781</v>
      </c>
      <c r="B355" s="107" t="s">
        <v>1590</v>
      </c>
      <c r="C355" s="99" t="s">
        <v>1584</v>
      </c>
      <c r="D355" s="99" t="s">
        <v>1585</v>
      </c>
      <c r="E355" s="93">
        <v>39</v>
      </c>
      <c r="F355" s="94" t="s">
        <v>1544</v>
      </c>
      <c r="G355" s="95" t="s">
        <v>232</v>
      </c>
      <c r="H355" s="94">
        <v>102952462</v>
      </c>
      <c r="I355" s="101">
        <f t="shared" si="20"/>
        <v>45177.496527777781</v>
      </c>
      <c r="J355" s="102">
        <f t="shared" si="21"/>
        <v>9</v>
      </c>
      <c r="K355" s="103">
        <f t="shared" si="22"/>
        <v>8</v>
      </c>
      <c r="L355" s="83">
        <f t="shared" si="23"/>
        <v>11</v>
      </c>
    </row>
    <row r="356" spans="1:12" x14ac:dyDescent="0.25">
      <c r="A356" s="105">
        <v>45177.519444444442</v>
      </c>
      <c r="B356" s="107" t="s">
        <v>1591</v>
      </c>
      <c r="C356" s="99" t="s">
        <v>1557</v>
      </c>
      <c r="D356" s="99" t="s">
        <v>1558</v>
      </c>
      <c r="E356" s="93">
        <v>358.93</v>
      </c>
      <c r="F356" s="94" t="s">
        <v>1543</v>
      </c>
      <c r="G356" s="95" t="s">
        <v>234</v>
      </c>
      <c r="H356" s="94">
        <v>103527773</v>
      </c>
      <c r="I356" s="101">
        <f t="shared" si="20"/>
        <v>45177.519444444442</v>
      </c>
      <c r="J356" s="102">
        <f t="shared" si="21"/>
        <v>9</v>
      </c>
      <c r="K356" s="103">
        <f t="shared" si="22"/>
        <v>8</v>
      </c>
      <c r="L356" s="83">
        <f t="shared" si="23"/>
        <v>12</v>
      </c>
    </row>
    <row r="357" spans="1:12" x14ac:dyDescent="0.25">
      <c r="A357" s="105">
        <v>45177.577777777777</v>
      </c>
      <c r="B357" s="107" t="s">
        <v>1592</v>
      </c>
      <c r="C357" s="99" t="s">
        <v>1587</v>
      </c>
      <c r="D357" s="99" t="s">
        <v>1588</v>
      </c>
      <c r="E357" s="93">
        <v>840</v>
      </c>
      <c r="F357" s="94" t="s">
        <v>1544</v>
      </c>
      <c r="G357" s="95" t="s">
        <v>236</v>
      </c>
      <c r="H357" s="94">
        <v>103959032</v>
      </c>
      <c r="I357" s="101">
        <f t="shared" si="20"/>
        <v>45177.577777777777</v>
      </c>
      <c r="J357" s="102">
        <f t="shared" si="21"/>
        <v>9</v>
      </c>
      <c r="K357" s="103">
        <f t="shared" si="22"/>
        <v>8</v>
      </c>
      <c r="L357" s="83">
        <f t="shared" si="23"/>
        <v>13</v>
      </c>
    </row>
    <row r="358" spans="1:12" x14ac:dyDescent="0.25">
      <c r="A358" s="105">
        <v>45177.640277777777</v>
      </c>
      <c r="B358" s="107" t="s">
        <v>1593</v>
      </c>
      <c r="C358" s="99" t="s">
        <v>1564</v>
      </c>
      <c r="D358" s="99" t="s">
        <v>1565</v>
      </c>
      <c r="E358" s="93">
        <v>88</v>
      </c>
      <c r="F358" s="94" t="s">
        <v>1544</v>
      </c>
      <c r="G358" s="95" t="s">
        <v>241</v>
      </c>
      <c r="H358" s="94">
        <v>105516522</v>
      </c>
      <c r="I358" s="101">
        <f t="shared" si="20"/>
        <v>45177.640277777777</v>
      </c>
      <c r="J358" s="102">
        <f t="shared" si="21"/>
        <v>9</v>
      </c>
      <c r="K358" s="103">
        <f t="shared" si="22"/>
        <v>8</v>
      </c>
      <c r="L358" s="83">
        <f t="shared" si="23"/>
        <v>15</v>
      </c>
    </row>
    <row r="359" spans="1:12" x14ac:dyDescent="0.25">
      <c r="A359" s="105">
        <v>45177.75277777778</v>
      </c>
      <c r="B359" s="107" t="s">
        <v>1594</v>
      </c>
      <c r="C359" s="99" t="s">
        <v>1548</v>
      </c>
      <c r="D359" s="99" t="s">
        <v>1549</v>
      </c>
      <c r="E359" s="93">
        <v>50</v>
      </c>
      <c r="F359" s="94" t="s">
        <v>1543</v>
      </c>
      <c r="G359" s="95" t="s">
        <v>243</v>
      </c>
      <c r="H359" s="94">
        <v>104292981</v>
      </c>
      <c r="I359" s="101">
        <f t="shared" si="20"/>
        <v>45177.75277777778</v>
      </c>
      <c r="J359" s="102">
        <f t="shared" si="21"/>
        <v>9</v>
      </c>
      <c r="K359" s="103">
        <f t="shared" si="22"/>
        <v>8</v>
      </c>
      <c r="L359" s="83">
        <f t="shared" si="23"/>
        <v>18</v>
      </c>
    </row>
    <row r="360" spans="1:12" x14ac:dyDescent="0.25">
      <c r="A360" s="105">
        <v>45177.756944444445</v>
      </c>
      <c r="B360" s="107" t="s">
        <v>1595</v>
      </c>
      <c r="C360" s="99" t="s">
        <v>1550</v>
      </c>
      <c r="D360" s="99" t="s">
        <v>1551</v>
      </c>
      <c r="E360" s="93">
        <v>60.88</v>
      </c>
      <c r="F360" s="94" t="s">
        <v>1543</v>
      </c>
      <c r="G360" s="95" t="s">
        <v>245</v>
      </c>
      <c r="H360" s="94">
        <v>103515600</v>
      </c>
      <c r="I360" s="101">
        <f t="shared" si="20"/>
        <v>45177.756944444445</v>
      </c>
      <c r="J360" s="102">
        <f t="shared" si="21"/>
        <v>9</v>
      </c>
      <c r="K360" s="103">
        <f t="shared" si="22"/>
        <v>8</v>
      </c>
      <c r="L360" s="83">
        <f t="shared" si="23"/>
        <v>18</v>
      </c>
    </row>
    <row r="361" spans="1:12" x14ac:dyDescent="0.25">
      <c r="A361" s="105">
        <v>45177.595833333333</v>
      </c>
      <c r="B361" s="107" t="s">
        <v>1597</v>
      </c>
      <c r="C361" s="99" t="s">
        <v>1562</v>
      </c>
      <c r="D361" s="99" t="s">
        <v>1563</v>
      </c>
      <c r="E361" s="93">
        <v>33</v>
      </c>
      <c r="F361" s="94" t="s">
        <v>1544</v>
      </c>
      <c r="G361" s="95" t="s">
        <v>247</v>
      </c>
      <c r="H361" s="94">
        <v>105057101</v>
      </c>
      <c r="I361" s="101">
        <f t="shared" si="20"/>
        <v>45177.595833333333</v>
      </c>
      <c r="J361" s="102">
        <f t="shared" si="21"/>
        <v>9</v>
      </c>
      <c r="K361" s="103">
        <f t="shared" si="22"/>
        <v>8</v>
      </c>
      <c r="L361" s="83">
        <f t="shared" si="23"/>
        <v>14</v>
      </c>
    </row>
    <row r="362" spans="1:12" x14ac:dyDescent="0.25">
      <c r="A362" s="105">
        <v>45177.472916666666</v>
      </c>
      <c r="B362" s="107" t="s">
        <v>1547</v>
      </c>
      <c r="C362" s="99" t="s">
        <v>1552</v>
      </c>
      <c r="D362" s="99" t="s">
        <v>1553</v>
      </c>
      <c r="E362" s="93">
        <v>10</v>
      </c>
      <c r="F362" s="94" t="s">
        <v>1544</v>
      </c>
      <c r="G362" s="95" t="s">
        <v>249</v>
      </c>
      <c r="H362" s="94">
        <v>105355446</v>
      </c>
      <c r="I362" s="101">
        <f t="shared" si="20"/>
        <v>45177.472916666666</v>
      </c>
      <c r="J362" s="102">
        <f t="shared" si="21"/>
        <v>9</v>
      </c>
      <c r="K362" s="103">
        <f t="shared" si="22"/>
        <v>8</v>
      </c>
      <c r="L362" s="83">
        <f t="shared" si="23"/>
        <v>11</v>
      </c>
    </row>
    <row r="363" spans="1:12" x14ac:dyDescent="0.25">
      <c r="A363" s="105">
        <v>45177.504166666666</v>
      </c>
      <c r="B363" s="107" t="s">
        <v>1554</v>
      </c>
      <c r="C363" s="99" t="s">
        <v>1555</v>
      </c>
      <c r="D363" s="99" t="s">
        <v>1556</v>
      </c>
      <c r="E363" s="93">
        <v>90.98</v>
      </c>
      <c r="F363" s="94" t="s">
        <v>1543</v>
      </c>
      <c r="G363" s="95" t="s">
        <v>251</v>
      </c>
      <c r="H363" s="94">
        <v>105649068</v>
      </c>
      <c r="I363" s="101">
        <f t="shared" si="20"/>
        <v>45177.504166666666</v>
      </c>
      <c r="J363" s="102">
        <f t="shared" si="21"/>
        <v>9</v>
      </c>
      <c r="K363" s="103">
        <f t="shared" si="22"/>
        <v>8</v>
      </c>
      <c r="L363" s="83">
        <f t="shared" si="23"/>
        <v>12</v>
      </c>
    </row>
    <row r="364" spans="1:12" x14ac:dyDescent="0.25">
      <c r="A364" s="105">
        <v>45177.691666666666</v>
      </c>
      <c r="B364" s="107" t="s">
        <v>1561</v>
      </c>
      <c r="C364" s="99" t="s">
        <v>1559</v>
      </c>
      <c r="D364" s="99" t="s">
        <v>1560</v>
      </c>
      <c r="E364" s="93">
        <v>70.34</v>
      </c>
      <c r="F364" s="94" t="s">
        <v>1543</v>
      </c>
      <c r="G364" s="95" t="s">
        <v>253</v>
      </c>
      <c r="H364" s="94">
        <v>103405722</v>
      </c>
      <c r="I364" s="101">
        <f t="shared" si="20"/>
        <v>45177.691666666666</v>
      </c>
      <c r="J364" s="102">
        <f t="shared" si="21"/>
        <v>9</v>
      </c>
      <c r="K364" s="103">
        <f t="shared" si="22"/>
        <v>8</v>
      </c>
      <c r="L364" s="83">
        <f t="shared" si="23"/>
        <v>16</v>
      </c>
    </row>
    <row r="365" spans="1:12" x14ac:dyDescent="0.25">
      <c r="A365" s="105">
        <v>45177.770833333336</v>
      </c>
      <c r="B365" s="107" t="s">
        <v>1568</v>
      </c>
      <c r="C365" s="99" t="s">
        <v>1548</v>
      </c>
      <c r="D365" s="99" t="s">
        <v>1549</v>
      </c>
      <c r="E365" s="93">
        <v>54.06</v>
      </c>
      <c r="F365" s="94" t="s">
        <v>1543</v>
      </c>
      <c r="G365" s="95" t="s">
        <v>255</v>
      </c>
      <c r="H365" s="94">
        <v>102042185</v>
      </c>
      <c r="I365" s="101">
        <f t="shared" si="20"/>
        <v>45177.770833333336</v>
      </c>
      <c r="J365" s="102">
        <f t="shared" si="21"/>
        <v>9</v>
      </c>
      <c r="K365" s="103">
        <f t="shared" si="22"/>
        <v>8</v>
      </c>
      <c r="L365" s="83">
        <f t="shared" si="23"/>
        <v>18</v>
      </c>
    </row>
    <row r="366" spans="1:12" x14ac:dyDescent="0.25">
      <c r="A366" s="105">
        <v>45177.458333333336</v>
      </c>
      <c r="B366" s="107" t="s">
        <v>1575</v>
      </c>
      <c r="C366" s="99" t="s">
        <v>1566</v>
      </c>
      <c r="D366" s="99" t="s">
        <v>1567</v>
      </c>
      <c r="E366" s="93">
        <v>150</v>
      </c>
      <c r="F366" s="94" t="s">
        <v>1544</v>
      </c>
      <c r="G366" s="95" t="s">
        <v>257</v>
      </c>
      <c r="H366" s="94">
        <v>105057101</v>
      </c>
      <c r="I366" s="101">
        <f t="shared" si="20"/>
        <v>45177.458333333336</v>
      </c>
      <c r="J366" s="102">
        <f t="shared" si="21"/>
        <v>9</v>
      </c>
      <c r="K366" s="103">
        <f t="shared" si="22"/>
        <v>8</v>
      </c>
      <c r="L366" s="83">
        <f t="shared" si="23"/>
        <v>11</v>
      </c>
    </row>
    <row r="367" spans="1:12" x14ac:dyDescent="0.25">
      <c r="A367" s="105">
        <v>45177.512499999997</v>
      </c>
      <c r="B367" s="107" t="s">
        <v>1582</v>
      </c>
      <c r="C367" s="99" t="s">
        <v>1564</v>
      </c>
      <c r="D367" s="99" t="s">
        <v>1565</v>
      </c>
      <c r="E367" s="93">
        <v>10</v>
      </c>
      <c r="F367" s="94" t="s">
        <v>1544</v>
      </c>
      <c r="G367" s="95" t="s">
        <v>259</v>
      </c>
      <c r="H367" s="94">
        <v>104616991</v>
      </c>
      <c r="I367" s="101">
        <f t="shared" si="20"/>
        <v>45177.512499999997</v>
      </c>
      <c r="J367" s="102">
        <f t="shared" si="21"/>
        <v>9</v>
      </c>
      <c r="K367" s="103">
        <f t="shared" si="22"/>
        <v>8</v>
      </c>
      <c r="L367" s="83">
        <f t="shared" si="23"/>
        <v>12</v>
      </c>
    </row>
    <row r="368" spans="1:12" x14ac:dyDescent="0.25">
      <c r="A368" s="105">
        <v>45177.623611111114</v>
      </c>
      <c r="B368" s="107" t="s">
        <v>1586</v>
      </c>
      <c r="C368" s="99" t="s">
        <v>1548</v>
      </c>
      <c r="D368" s="99" t="s">
        <v>1549</v>
      </c>
      <c r="E368" s="93">
        <v>5</v>
      </c>
      <c r="F368" s="94" t="s">
        <v>1544</v>
      </c>
      <c r="G368" s="95" t="s">
        <v>261</v>
      </c>
      <c r="H368" s="94">
        <v>103586907</v>
      </c>
      <c r="I368" s="101">
        <f t="shared" si="20"/>
        <v>45177.623611111114</v>
      </c>
      <c r="J368" s="102">
        <f t="shared" si="21"/>
        <v>9</v>
      </c>
      <c r="K368" s="103">
        <f t="shared" si="22"/>
        <v>8</v>
      </c>
      <c r="L368" s="83">
        <f t="shared" si="23"/>
        <v>14</v>
      </c>
    </row>
    <row r="369" spans="1:12" x14ac:dyDescent="0.25">
      <c r="A369" s="105">
        <v>45177.629861111112</v>
      </c>
      <c r="B369" s="107" t="s">
        <v>1589</v>
      </c>
      <c r="C369" s="99" t="s">
        <v>1550</v>
      </c>
      <c r="D369" s="99" t="s">
        <v>1551</v>
      </c>
      <c r="E369" s="93">
        <v>79.63</v>
      </c>
      <c r="F369" s="94" t="s">
        <v>1543</v>
      </c>
      <c r="G369" s="95" t="s">
        <v>263</v>
      </c>
      <c r="H369" s="94">
        <v>104399502</v>
      </c>
      <c r="I369" s="101">
        <f t="shared" si="20"/>
        <v>45177.629861111112</v>
      </c>
      <c r="J369" s="102">
        <f t="shared" si="21"/>
        <v>9</v>
      </c>
      <c r="K369" s="103">
        <f t="shared" si="22"/>
        <v>8</v>
      </c>
      <c r="L369" s="83">
        <f t="shared" si="23"/>
        <v>15</v>
      </c>
    </row>
    <row r="370" spans="1:12" x14ac:dyDescent="0.25">
      <c r="A370" s="105">
        <v>45177.433333333334</v>
      </c>
      <c r="B370" s="107" t="s">
        <v>1590</v>
      </c>
      <c r="C370" s="99" t="s">
        <v>1557</v>
      </c>
      <c r="D370" s="99" t="s">
        <v>1558</v>
      </c>
      <c r="E370" s="93">
        <v>50</v>
      </c>
      <c r="F370" s="94" t="s">
        <v>1544</v>
      </c>
      <c r="G370" s="95" t="s">
        <v>265</v>
      </c>
      <c r="H370" s="94">
        <v>103828210</v>
      </c>
      <c r="I370" s="101">
        <f t="shared" si="20"/>
        <v>45177.433333333334</v>
      </c>
      <c r="J370" s="102">
        <f t="shared" si="21"/>
        <v>9</v>
      </c>
      <c r="K370" s="103">
        <f t="shared" si="22"/>
        <v>8</v>
      </c>
      <c r="L370" s="83">
        <f t="shared" si="23"/>
        <v>10</v>
      </c>
    </row>
    <row r="371" spans="1:12" x14ac:dyDescent="0.25">
      <c r="A371" s="105">
        <v>45177.747916666667</v>
      </c>
      <c r="B371" s="107" t="s">
        <v>1591</v>
      </c>
      <c r="C371" s="99" t="s">
        <v>1562</v>
      </c>
      <c r="D371" s="99" t="s">
        <v>1563</v>
      </c>
      <c r="E371" s="93">
        <v>57.45</v>
      </c>
      <c r="F371" s="94" t="s">
        <v>1543</v>
      </c>
      <c r="G371" s="95" t="s">
        <v>268</v>
      </c>
      <c r="H371" s="94">
        <v>105666878</v>
      </c>
      <c r="I371" s="101">
        <f t="shared" si="20"/>
        <v>45177.747916666667</v>
      </c>
      <c r="J371" s="102">
        <f t="shared" si="21"/>
        <v>9</v>
      </c>
      <c r="K371" s="103">
        <f t="shared" si="22"/>
        <v>8</v>
      </c>
      <c r="L371" s="83">
        <f t="shared" si="23"/>
        <v>17</v>
      </c>
    </row>
    <row r="372" spans="1:12" x14ac:dyDescent="0.25">
      <c r="A372" s="105">
        <v>45177.629166666666</v>
      </c>
      <c r="B372" s="107" t="s">
        <v>1592</v>
      </c>
      <c r="C372" s="99" t="s">
        <v>1576</v>
      </c>
      <c r="D372" s="99" t="s">
        <v>1577</v>
      </c>
      <c r="E372" s="93">
        <v>5</v>
      </c>
      <c r="F372" s="94" t="s">
        <v>1544</v>
      </c>
      <c r="G372" s="95" t="s">
        <v>270</v>
      </c>
      <c r="H372" s="94">
        <v>105180693</v>
      </c>
      <c r="I372" s="101">
        <f t="shared" si="20"/>
        <v>45177.629166666666</v>
      </c>
      <c r="J372" s="102">
        <f t="shared" si="21"/>
        <v>9</v>
      </c>
      <c r="K372" s="103">
        <f t="shared" si="22"/>
        <v>8</v>
      </c>
      <c r="L372" s="83">
        <f t="shared" si="23"/>
        <v>15</v>
      </c>
    </row>
    <row r="373" spans="1:12" x14ac:dyDescent="0.25">
      <c r="A373" s="105">
        <v>45177.650694444441</v>
      </c>
      <c r="B373" s="107" t="s">
        <v>1593</v>
      </c>
      <c r="C373" s="99" t="s">
        <v>1569</v>
      </c>
      <c r="D373" s="99" t="s">
        <v>1570</v>
      </c>
      <c r="E373" s="93">
        <v>72.2</v>
      </c>
      <c r="F373" s="94" t="s">
        <v>1543</v>
      </c>
      <c r="G373" s="95" t="s">
        <v>272</v>
      </c>
      <c r="H373" s="94">
        <v>105406295</v>
      </c>
      <c r="I373" s="101">
        <f t="shared" si="20"/>
        <v>45177.650694444441</v>
      </c>
      <c r="J373" s="102">
        <f t="shared" si="21"/>
        <v>9</v>
      </c>
      <c r="K373" s="103">
        <f t="shared" si="22"/>
        <v>8</v>
      </c>
      <c r="L373" s="83">
        <f t="shared" si="23"/>
        <v>15</v>
      </c>
    </row>
    <row r="374" spans="1:12" x14ac:dyDescent="0.25">
      <c r="A374" s="105">
        <v>45177.467361111114</v>
      </c>
      <c r="B374" s="107" t="s">
        <v>1594</v>
      </c>
      <c r="C374" s="99" t="s">
        <v>1548</v>
      </c>
      <c r="D374" s="99" t="s">
        <v>1549</v>
      </c>
      <c r="E374" s="93">
        <v>110</v>
      </c>
      <c r="F374" s="94" t="s">
        <v>1543</v>
      </c>
      <c r="G374" s="95" t="s">
        <v>274</v>
      </c>
      <c r="H374" s="94">
        <v>103713958</v>
      </c>
      <c r="I374" s="101">
        <f t="shared" si="20"/>
        <v>45177.467361111114</v>
      </c>
      <c r="J374" s="102">
        <f t="shared" si="21"/>
        <v>9</v>
      </c>
      <c r="K374" s="103">
        <f t="shared" si="22"/>
        <v>8</v>
      </c>
      <c r="L374" s="83">
        <f t="shared" si="23"/>
        <v>11</v>
      </c>
    </row>
    <row r="375" spans="1:12" x14ac:dyDescent="0.25">
      <c r="A375" s="105">
        <v>45177.698611111111</v>
      </c>
      <c r="B375" s="107" t="s">
        <v>1595</v>
      </c>
      <c r="C375" s="99" t="s">
        <v>1559</v>
      </c>
      <c r="D375" s="99" t="s">
        <v>1560</v>
      </c>
      <c r="E375" s="93">
        <v>163.63999999999999</v>
      </c>
      <c r="F375" s="94" t="s">
        <v>1543</v>
      </c>
      <c r="G375" s="95" t="s">
        <v>276</v>
      </c>
      <c r="H375" s="94">
        <v>104430374</v>
      </c>
      <c r="I375" s="101">
        <f t="shared" si="20"/>
        <v>45177.698611111111</v>
      </c>
      <c r="J375" s="102">
        <f t="shared" si="21"/>
        <v>9</v>
      </c>
      <c r="K375" s="103">
        <f t="shared" si="22"/>
        <v>8</v>
      </c>
      <c r="L375" s="83">
        <f t="shared" si="23"/>
        <v>16</v>
      </c>
    </row>
    <row r="376" spans="1:12" x14ac:dyDescent="0.25">
      <c r="A376" s="105">
        <v>45177.677083333336</v>
      </c>
      <c r="B376" s="107" t="s">
        <v>1597</v>
      </c>
      <c r="C376" s="99" t="s">
        <v>1571</v>
      </c>
      <c r="D376" s="99" t="s">
        <v>1572</v>
      </c>
      <c r="E376" s="93">
        <v>48</v>
      </c>
      <c r="F376" s="94" t="s">
        <v>1543</v>
      </c>
      <c r="G376" s="95" t="s">
        <v>278</v>
      </c>
      <c r="H376" s="94">
        <v>103510463</v>
      </c>
      <c r="I376" s="101">
        <f t="shared" si="20"/>
        <v>45177.677083333336</v>
      </c>
      <c r="J376" s="102">
        <f t="shared" si="21"/>
        <v>9</v>
      </c>
      <c r="K376" s="103">
        <f t="shared" si="22"/>
        <v>8</v>
      </c>
      <c r="L376" s="83">
        <f t="shared" si="23"/>
        <v>16</v>
      </c>
    </row>
    <row r="377" spans="1:12" x14ac:dyDescent="0.25">
      <c r="A377" s="105">
        <v>45177.524305555555</v>
      </c>
      <c r="B377" s="107" t="s">
        <v>1547</v>
      </c>
      <c r="C377" s="99" t="s">
        <v>1550</v>
      </c>
      <c r="D377" s="99" t="s">
        <v>1551</v>
      </c>
      <c r="E377" s="93">
        <v>130</v>
      </c>
      <c r="F377" s="94" t="s">
        <v>1543</v>
      </c>
      <c r="G377" s="95" t="s">
        <v>280</v>
      </c>
      <c r="H377" s="94">
        <v>101336014</v>
      </c>
      <c r="I377" s="101">
        <f t="shared" si="20"/>
        <v>45177.524305555555</v>
      </c>
      <c r="J377" s="102">
        <f t="shared" si="21"/>
        <v>9</v>
      </c>
      <c r="K377" s="103">
        <f t="shared" si="22"/>
        <v>8</v>
      </c>
      <c r="L377" s="83">
        <f t="shared" si="23"/>
        <v>12</v>
      </c>
    </row>
    <row r="378" spans="1:12" x14ac:dyDescent="0.25">
      <c r="A378" s="105">
        <v>45177.430555555555</v>
      </c>
      <c r="B378" s="107" t="s">
        <v>1554</v>
      </c>
      <c r="C378" s="99" t="s">
        <v>1557</v>
      </c>
      <c r="D378" s="99" t="s">
        <v>1558</v>
      </c>
      <c r="E378" s="93">
        <v>272.5</v>
      </c>
      <c r="F378" s="94" t="s">
        <v>1543</v>
      </c>
      <c r="G378" s="95" t="s">
        <v>282</v>
      </c>
      <c r="H378" s="94">
        <v>103152528</v>
      </c>
      <c r="I378" s="101">
        <f t="shared" si="20"/>
        <v>45177.430555555555</v>
      </c>
      <c r="J378" s="102">
        <f t="shared" si="21"/>
        <v>9</v>
      </c>
      <c r="K378" s="103">
        <f t="shared" si="22"/>
        <v>8</v>
      </c>
      <c r="L378" s="83">
        <f t="shared" si="23"/>
        <v>10</v>
      </c>
    </row>
    <row r="379" spans="1:12" x14ac:dyDescent="0.25">
      <c r="A379" s="105">
        <v>45177.543749999997</v>
      </c>
      <c r="B379" s="107" t="s">
        <v>1561</v>
      </c>
      <c r="C379" s="99" t="s">
        <v>1555</v>
      </c>
      <c r="D379" s="99" t="s">
        <v>1556</v>
      </c>
      <c r="E379" s="93">
        <v>126.95</v>
      </c>
      <c r="F379" s="94" t="s">
        <v>1543</v>
      </c>
      <c r="G379" s="95" t="s">
        <v>284</v>
      </c>
      <c r="H379" s="94">
        <v>103110354</v>
      </c>
      <c r="I379" s="101">
        <f t="shared" si="20"/>
        <v>45177.543749999997</v>
      </c>
      <c r="J379" s="102">
        <f t="shared" si="21"/>
        <v>9</v>
      </c>
      <c r="K379" s="103">
        <f t="shared" si="22"/>
        <v>8</v>
      </c>
      <c r="L379" s="83">
        <f t="shared" si="23"/>
        <v>13</v>
      </c>
    </row>
    <row r="380" spans="1:12" x14ac:dyDescent="0.25">
      <c r="A380" s="105">
        <v>45177.513888888891</v>
      </c>
      <c r="B380" s="107" t="s">
        <v>1568</v>
      </c>
      <c r="C380" s="99" t="s">
        <v>1548</v>
      </c>
      <c r="D380" s="99" t="s">
        <v>1549</v>
      </c>
      <c r="E380" s="93">
        <v>75.17</v>
      </c>
      <c r="F380" s="94" t="s">
        <v>1543</v>
      </c>
      <c r="G380" s="95" t="s">
        <v>287</v>
      </c>
      <c r="H380" s="94">
        <v>101726902</v>
      </c>
      <c r="I380" s="101">
        <f t="shared" si="20"/>
        <v>45177.513888888891</v>
      </c>
      <c r="J380" s="102">
        <f t="shared" si="21"/>
        <v>9</v>
      </c>
      <c r="K380" s="103">
        <f t="shared" si="22"/>
        <v>8</v>
      </c>
      <c r="L380" s="83">
        <f t="shared" si="23"/>
        <v>12</v>
      </c>
    </row>
    <row r="381" spans="1:12" x14ac:dyDescent="0.25">
      <c r="A381" s="105">
        <v>45177.623611111114</v>
      </c>
      <c r="B381" s="107" t="s">
        <v>1575</v>
      </c>
      <c r="C381" s="99" t="s">
        <v>1550</v>
      </c>
      <c r="D381" s="99" t="s">
        <v>1551</v>
      </c>
      <c r="E381" s="93">
        <v>23.39</v>
      </c>
      <c r="F381" s="94" t="s">
        <v>1543</v>
      </c>
      <c r="G381" s="95" t="s">
        <v>289</v>
      </c>
      <c r="H381" s="94">
        <v>104649737</v>
      </c>
      <c r="I381" s="101">
        <f t="shared" si="20"/>
        <v>45177.623611111114</v>
      </c>
      <c r="J381" s="102">
        <f t="shared" si="21"/>
        <v>9</v>
      </c>
      <c r="K381" s="103">
        <f t="shared" si="22"/>
        <v>8</v>
      </c>
      <c r="L381" s="83">
        <f t="shared" si="23"/>
        <v>14</v>
      </c>
    </row>
    <row r="382" spans="1:12" x14ac:dyDescent="0.25">
      <c r="A382" s="105">
        <v>45177.538888888892</v>
      </c>
      <c r="B382" s="107" t="s">
        <v>1582</v>
      </c>
      <c r="C382" s="99" t="s">
        <v>1552</v>
      </c>
      <c r="D382" s="99" t="s">
        <v>1553</v>
      </c>
      <c r="E382" s="93">
        <v>5.41</v>
      </c>
      <c r="F382" s="94" t="s">
        <v>1543</v>
      </c>
      <c r="G382" s="95" t="s">
        <v>291</v>
      </c>
      <c r="H382" s="94">
        <v>103959628</v>
      </c>
      <c r="I382" s="101">
        <f t="shared" si="20"/>
        <v>45177.538888888892</v>
      </c>
      <c r="J382" s="102">
        <f t="shared" si="21"/>
        <v>9</v>
      </c>
      <c r="K382" s="103">
        <f t="shared" si="22"/>
        <v>8</v>
      </c>
      <c r="L382" s="83">
        <f t="shared" si="23"/>
        <v>12</v>
      </c>
    </row>
    <row r="383" spans="1:12" x14ac:dyDescent="0.25">
      <c r="A383" s="105">
        <v>45177.434027777781</v>
      </c>
      <c r="B383" s="107" t="s">
        <v>1586</v>
      </c>
      <c r="C383" s="99" t="s">
        <v>1555</v>
      </c>
      <c r="D383" s="99" t="s">
        <v>1556</v>
      </c>
      <c r="E383" s="93">
        <v>621.28</v>
      </c>
      <c r="F383" s="94" t="s">
        <v>1543</v>
      </c>
      <c r="G383" s="95" t="s">
        <v>293</v>
      </c>
      <c r="H383" s="94">
        <v>104313798</v>
      </c>
      <c r="I383" s="101">
        <f t="shared" si="20"/>
        <v>45177.434027777781</v>
      </c>
      <c r="J383" s="102">
        <f t="shared" si="21"/>
        <v>9</v>
      </c>
      <c r="K383" s="103">
        <f t="shared" si="22"/>
        <v>8</v>
      </c>
      <c r="L383" s="83">
        <f t="shared" si="23"/>
        <v>10</v>
      </c>
    </row>
    <row r="384" spans="1:12" x14ac:dyDescent="0.25">
      <c r="A384" s="105">
        <v>45177.654861111114</v>
      </c>
      <c r="B384" s="107" t="s">
        <v>1589</v>
      </c>
      <c r="C384" s="99" t="s">
        <v>1557</v>
      </c>
      <c r="D384" s="99" t="s">
        <v>1558</v>
      </c>
      <c r="E384" s="93">
        <v>39</v>
      </c>
      <c r="F384" s="94" t="s">
        <v>1543</v>
      </c>
      <c r="G384" s="95" t="s">
        <v>295</v>
      </c>
      <c r="H384" s="94">
        <v>102952462</v>
      </c>
      <c r="I384" s="101">
        <f t="shared" si="20"/>
        <v>45177.654861111114</v>
      </c>
      <c r="J384" s="102">
        <f t="shared" si="21"/>
        <v>9</v>
      </c>
      <c r="K384" s="103">
        <f t="shared" si="22"/>
        <v>8</v>
      </c>
      <c r="L384" s="83">
        <f t="shared" si="23"/>
        <v>15</v>
      </c>
    </row>
    <row r="385" spans="1:12" x14ac:dyDescent="0.25">
      <c r="A385" s="105">
        <v>45177.594444444447</v>
      </c>
      <c r="B385" s="107" t="s">
        <v>1590</v>
      </c>
      <c r="C385" s="99" t="s">
        <v>1559</v>
      </c>
      <c r="D385" s="99" t="s">
        <v>1560</v>
      </c>
      <c r="E385" s="93">
        <v>25</v>
      </c>
      <c r="F385" s="94" t="s">
        <v>1543</v>
      </c>
      <c r="G385" s="95" t="s">
        <v>297</v>
      </c>
      <c r="H385" s="94">
        <v>105057101</v>
      </c>
      <c r="I385" s="101">
        <f t="shared" si="20"/>
        <v>45177.594444444447</v>
      </c>
      <c r="J385" s="102">
        <f t="shared" si="21"/>
        <v>9</v>
      </c>
      <c r="K385" s="103">
        <f t="shared" si="22"/>
        <v>8</v>
      </c>
      <c r="L385" s="83">
        <f t="shared" si="23"/>
        <v>14</v>
      </c>
    </row>
    <row r="386" spans="1:12" x14ac:dyDescent="0.25">
      <c r="A386" s="105">
        <v>45177.753472222219</v>
      </c>
      <c r="B386" s="107" t="s">
        <v>1591</v>
      </c>
      <c r="C386" s="99" t="s">
        <v>1562</v>
      </c>
      <c r="D386" s="99" t="s">
        <v>1563</v>
      </c>
      <c r="E386" s="93">
        <v>154</v>
      </c>
      <c r="F386" s="94" t="s">
        <v>1543</v>
      </c>
      <c r="G386" s="95" t="s">
        <v>299</v>
      </c>
      <c r="H386" s="94">
        <v>100676939</v>
      </c>
      <c r="I386" s="101">
        <f t="shared" si="20"/>
        <v>45177.753472222219</v>
      </c>
      <c r="J386" s="102">
        <f t="shared" si="21"/>
        <v>9</v>
      </c>
      <c r="K386" s="103">
        <f t="shared" si="22"/>
        <v>8</v>
      </c>
      <c r="L386" s="83">
        <f t="shared" si="23"/>
        <v>18</v>
      </c>
    </row>
    <row r="387" spans="1:12" x14ac:dyDescent="0.25">
      <c r="A387" s="105">
        <v>45177.686111111114</v>
      </c>
      <c r="B387" s="107" t="s">
        <v>1592</v>
      </c>
      <c r="C387" s="99" t="s">
        <v>1564</v>
      </c>
      <c r="D387" s="99" t="s">
        <v>1565</v>
      </c>
      <c r="E387" s="93">
        <v>194.51</v>
      </c>
      <c r="F387" s="94" t="s">
        <v>1543</v>
      </c>
      <c r="G387" s="95" t="s">
        <v>302</v>
      </c>
      <c r="H387" s="94">
        <v>102293454</v>
      </c>
      <c r="I387" s="101">
        <f t="shared" ref="I387:I450" si="24">A387</f>
        <v>45177.686111111114</v>
      </c>
      <c r="J387" s="102">
        <f t="shared" ref="J387:J450" si="25">MONTH(A387)</f>
        <v>9</v>
      </c>
      <c r="K387" s="103">
        <f t="shared" ref="K387:K450" si="26">DAY(A387)</f>
        <v>8</v>
      </c>
      <c r="L387" s="83">
        <f t="shared" ref="L387:L450" si="27">HOUR(A387)</f>
        <v>16</v>
      </c>
    </row>
    <row r="388" spans="1:12" x14ac:dyDescent="0.25">
      <c r="A388" s="105">
        <v>45177.436111111114</v>
      </c>
      <c r="B388" s="107" t="s">
        <v>1593</v>
      </c>
      <c r="C388" s="99" t="s">
        <v>1566</v>
      </c>
      <c r="D388" s="99" t="s">
        <v>1567</v>
      </c>
      <c r="E388" s="93">
        <v>31.36</v>
      </c>
      <c r="F388" s="94" t="s">
        <v>1543</v>
      </c>
      <c r="G388" s="95" t="s">
        <v>304</v>
      </c>
      <c r="H388" s="94">
        <v>101690642</v>
      </c>
      <c r="I388" s="101">
        <f t="shared" si="24"/>
        <v>45177.436111111114</v>
      </c>
      <c r="J388" s="102">
        <f t="shared" si="25"/>
        <v>9</v>
      </c>
      <c r="K388" s="103">
        <f t="shared" si="26"/>
        <v>8</v>
      </c>
      <c r="L388" s="83">
        <f t="shared" si="27"/>
        <v>10</v>
      </c>
    </row>
    <row r="389" spans="1:12" x14ac:dyDescent="0.25">
      <c r="A389" s="105">
        <v>45177.715277777781</v>
      </c>
      <c r="B389" s="107" t="s">
        <v>1594</v>
      </c>
      <c r="C389" s="99" t="s">
        <v>1569</v>
      </c>
      <c r="D389" s="99" t="s">
        <v>1570</v>
      </c>
      <c r="E389" s="93">
        <v>40</v>
      </c>
      <c r="F389" s="94" t="s">
        <v>1543</v>
      </c>
      <c r="G389" s="95" t="s">
        <v>306</v>
      </c>
      <c r="H389" s="94">
        <v>103211936</v>
      </c>
      <c r="I389" s="101">
        <f t="shared" si="24"/>
        <v>45177.715277777781</v>
      </c>
      <c r="J389" s="102">
        <f t="shared" si="25"/>
        <v>9</v>
      </c>
      <c r="K389" s="103">
        <f t="shared" si="26"/>
        <v>8</v>
      </c>
      <c r="L389" s="83">
        <f t="shared" si="27"/>
        <v>17</v>
      </c>
    </row>
    <row r="390" spans="1:12" x14ac:dyDescent="0.25">
      <c r="A390" s="105">
        <v>45177.720833333333</v>
      </c>
      <c r="B390" s="107" t="s">
        <v>1595</v>
      </c>
      <c r="C390" s="99" t="s">
        <v>1571</v>
      </c>
      <c r="D390" s="99" t="s">
        <v>1572</v>
      </c>
      <c r="E390" s="93">
        <v>94.81</v>
      </c>
      <c r="F390" s="94" t="s">
        <v>1543</v>
      </c>
      <c r="G390" s="95" t="s">
        <v>308</v>
      </c>
      <c r="H390" s="94">
        <v>103289155</v>
      </c>
      <c r="I390" s="101">
        <f t="shared" si="24"/>
        <v>45177.720833333333</v>
      </c>
      <c r="J390" s="102">
        <f t="shared" si="25"/>
        <v>9</v>
      </c>
      <c r="K390" s="103">
        <f t="shared" si="26"/>
        <v>8</v>
      </c>
      <c r="L390" s="83">
        <f t="shared" si="27"/>
        <v>17</v>
      </c>
    </row>
    <row r="391" spans="1:12" x14ac:dyDescent="0.25">
      <c r="A391" s="105">
        <v>45177.679861111108</v>
      </c>
      <c r="B391" s="107" t="s">
        <v>1597</v>
      </c>
      <c r="C391" s="99" t="s">
        <v>1573</v>
      </c>
      <c r="D391" s="99" t="s">
        <v>1574</v>
      </c>
      <c r="E391" s="93">
        <v>132.76</v>
      </c>
      <c r="F391" s="94" t="s">
        <v>1543</v>
      </c>
      <c r="G391" s="95" t="s">
        <v>310</v>
      </c>
      <c r="H391" s="94">
        <v>103858522</v>
      </c>
      <c r="I391" s="101">
        <f t="shared" si="24"/>
        <v>45177.679861111108</v>
      </c>
      <c r="J391" s="102">
        <f t="shared" si="25"/>
        <v>9</v>
      </c>
      <c r="K391" s="103">
        <f t="shared" si="26"/>
        <v>8</v>
      </c>
      <c r="L391" s="83">
        <f t="shared" si="27"/>
        <v>16</v>
      </c>
    </row>
    <row r="392" spans="1:12" x14ac:dyDescent="0.25">
      <c r="A392" s="105">
        <v>45177.484027777777</v>
      </c>
      <c r="B392" s="107" t="s">
        <v>1547</v>
      </c>
      <c r="C392" s="99" t="s">
        <v>1576</v>
      </c>
      <c r="D392" s="99" t="s">
        <v>1577</v>
      </c>
      <c r="E392" s="93">
        <v>37.369999999999997</v>
      </c>
      <c r="F392" s="94" t="s">
        <v>1543</v>
      </c>
      <c r="G392" s="95" t="s">
        <v>312</v>
      </c>
      <c r="H392" s="94">
        <v>103796646</v>
      </c>
      <c r="I392" s="101">
        <f t="shared" si="24"/>
        <v>45177.484027777777</v>
      </c>
      <c r="J392" s="102">
        <f t="shared" si="25"/>
        <v>9</v>
      </c>
      <c r="K392" s="103">
        <f t="shared" si="26"/>
        <v>8</v>
      </c>
      <c r="L392" s="83">
        <f t="shared" si="27"/>
        <v>11</v>
      </c>
    </row>
    <row r="393" spans="1:12" x14ac:dyDescent="0.25">
      <c r="A393" s="105">
        <v>45177.657638888886</v>
      </c>
      <c r="B393" s="107" t="s">
        <v>1554</v>
      </c>
      <c r="C393" s="99" t="s">
        <v>1578</v>
      </c>
      <c r="D393" s="99" t="s">
        <v>1579</v>
      </c>
      <c r="E393" s="93">
        <v>102.95</v>
      </c>
      <c r="F393" s="94" t="s">
        <v>1544</v>
      </c>
      <c r="G393" s="95" t="s">
        <v>314</v>
      </c>
      <c r="H393" s="94">
        <v>105112222</v>
      </c>
      <c r="I393" s="101">
        <f t="shared" si="24"/>
        <v>45177.657638888886</v>
      </c>
      <c r="J393" s="102">
        <f t="shared" si="25"/>
        <v>9</v>
      </c>
      <c r="K393" s="103">
        <f t="shared" si="26"/>
        <v>8</v>
      </c>
      <c r="L393" s="83">
        <f t="shared" si="27"/>
        <v>15</v>
      </c>
    </row>
    <row r="394" spans="1:12" x14ac:dyDescent="0.25">
      <c r="A394" s="105">
        <v>45177.519444444442</v>
      </c>
      <c r="B394" s="107" t="s">
        <v>1561</v>
      </c>
      <c r="C394" s="99" t="s">
        <v>1580</v>
      </c>
      <c r="D394" s="99" t="s">
        <v>1581</v>
      </c>
      <c r="E394" s="93">
        <v>150</v>
      </c>
      <c r="F394" s="94" t="s">
        <v>1543</v>
      </c>
      <c r="G394" s="95" t="s">
        <v>316</v>
      </c>
      <c r="H394" s="94">
        <v>104782463</v>
      </c>
      <c r="I394" s="101">
        <f t="shared" si="24"/>
        <v>45177.519444444442</v>
      </c>
      <c r="J394" s="102">
        <f t="shared" si="25"/>
        <v>9</v>
      </c>
      <c r="K394" s="103">
        <f t="shared" si="26"/>
        <v>8</v>
      </c>
      <c r="L394" s="83">
        <f t="shared" si="27"/>
        <v>12</v>
      </c>
    </row>
    <row r="395" spans="1:12" x14ac:dyDescent="0.25">
      <c r="A395" s="105">
        <v>45177.556250000001</v>
      </c>
      <c r="B395" s="107" t="s">
        <v>1568</v>
      </c>
      <c r="C395" s="99" t="s">
        <v>1548</v>
      </c>
      <c r="D395" s="99" t="s">
        <v>1549</v>
      </c>
      <c r="E395" s="93">
        <v>300</v>
      </c>
      <c r="F395" s="94" t="s">
        <v>1543</v>
      </c>
      <c r="G395" s="95" t="s">
        <v>318</v>
      </c>
      <c r="H395" s="94">
        <v>105537185</v>
      </c>
      <c r="I395" s="101">
        <f t="shared" si="24"/>
        <v>45177.556250000001</v>
      </c>
      <c r="J395" s="102">
        <f t="shared" si="25"/>
        <v>9</v>
      </c>
      <c r="K395" s="103">
        <f t="shared" si="26"/>
        <v>8</v>
      </c>
      <c r="L395" s="83">
        <f t="shared" si="27"/>
        <v>13</v>
      </c>
    </row>
    <row r="396" spans="1:12" x14ac:dyDescent="0.25">
      <c r="A396" s="105">
        <v>45177.45416666667</v>
      </c>
      <c r="B396" s="107" t="s">
        <v>1575</v>
      </c>
      <c r="C396" s="99" t="s">
        <v>1583</v>
      </c>
      <c r="D396" s="99" t="s">
        <v>1574</v>
      </c>
      <c r="E396" s="93">
        <v>65</v>
      </c>
      <c r="F396" s="94" t="s">
        <v>1543</v>
      </c>
      <c r="G396" s="95" t="s">
        <v>320</v>
      </c>
      <c r="H396" s="94">
        <v>105095229</v>
      </c>
      <c r="I396" s="101">
        <f t="shared" si="24"/>
        <v>45177.45416666667</v>
      </c>
      <c r="J396" s="102">
        <f t="shared" si="25"/>
        <v>9</v>
      </c>
      <c r="K396" s="103">
        <f t="shared" si="26"/>
        <v>8</v>
      </c>
      <c r="L396" s="83">
        <f t="shared" si="27"/>
        <v>10</v>
      </c>
    </row>
    <row r="397" spans="1:12" x14ac:dyDescent="0.25">
      <c r="A397" s="105">
        <v>45177.522916666669</v>
      </c>
      <c r="B397" s="107" t="s">
        <v>1582</v>
      </c>
      <c r="C397" s="99" t="s">
        <v>1584</v>
      </c>
      <c r="D397" s="99" t="s">
        <v>1585</v>
      </c>
      <c r="E397" s="93">
        <v>47</v>
      </c>
      <c r="F397" s="94" t="s">
        <v>1543</v>
      </c>
      <c r="G397" s="95" t="s">
        <v>322</v>
      </c>
      <c r="H397" s="94">
        <v>103370471</v>
      </c>
      <c r="I397" s="101">
        <f t="shared" si="24"/>
        <v>45177.522916666669</v>
      </c>
      <c r="J397" s="102">
        <f t="shared" si="25"/>
        <v>9</v>
      </c>
      <c r="K397" s="103">
        <f t="shared" si="26"/>
        <v>8</v>
      </c>
      <c r="L397" s="83">
        <f t="shared" si="27"/>
        <v>12</v>
      </c>
    </row>
    <row r="398" spans="1:12" x14ac:dyDescent="0.25">
      <c r="A398" s="105">
        <v>45177.722222222219</v>
      </c>
      <c r="B398" s="107" t="s">
        <v>1586</v>
      </c>
      <c r="C398" s="99" t="s">
        <v>1557</v>
      </c>
      <c r="D398" s="99" t="s">
        <v>1558</v>
      </c>
      <c r="E398" s="93">
        <v>83.55</v>
      </c>
      <c r="F398" s="94" t="s">
        <v>1543</v>
      </c>
      <c r="G398" s="95" t="s">
        <v>324</v>
      </c>
      <c r="H398" s="94">
        <v>103754652</v>
      </c>
      <c r="I398" s="101">
        <f t="shared" si="24"/>
        <v>45177.722222222219</v>
      </c>
      <c r="J398" s="102">
        <f t="shared" si="25"/>
        <v>9</v>
      </c>
      <c r="K398" s="103">
        <f t="shared" si="26"/>
        <v>8</v>
      </c>
      <c r="L398" s="83">
        <f t="shared" si="27"/>
        <v>17</v>
      </c>
    </row>
    <row r="399" spans="1:12" x14ac:dyDescent="0.25">
      <c r="A399" s="105">
        <v>45177.478472222225</v>
      </c>
      <c r="B399" s="107" t="s">
        <v>1589</v>
      </c>
      <c r="C399" s="99" t="s">
        <v>1587</v>
      </c>
      <c r="D399" s="99" t="s">
        <v>1588</v>
      </c>
      <c r="E399" s="93">
        <v>76.55</v>
      </c>
      <c r="F399" s="94" t="s">
        <v>1543</v>
      </c>
      <c r="G399" s="95" t="s">
        <v>326</v>
      </c>
      <c r="H399" s="94">
        <v>104542745</v>
      </c>
      <c r="I399" s="101">
        <f t="shared" si="24"/>
        <v>45177.478472222225</v>
      </c>
      <c r="J399" s="102">
        <f t="shared" si="25"/>
        <v>9</v>
      </c>
      <c r="K399" s="103">
        <f t="shared" si="26"/>
        <v>8</v>
      </c>
      <c r="L399" s="83">
        <f t="shared" si="27"/>
        <v>11</v>
      </c>
    </row>
    <row r="400" spans="1:12" x14ac:dyDescent="0.25">
      <c r="A400" s="105">
        <v>45177.651388888888</v>
      </c>
      <c r="B400" s="107" t="s">
        <v>1590</v>
      </c>
      <c r="C400" s="99" t="s">
        <v>1564</v>
      </c>
      <c r="D400" s="99" t="s">
        <v>1565</v>
      </c>
      <c r="E400" s="93">
        <v>125</v>
      </c>
      <c r="F400" s="94" t="s">
        <v>1543</v>
      </c>
      <c r="G400" s="95" t="s">
        <v>328</v>
      </c>
      <c r="H400" s="94">
        <v>104182753</v>
      </c>
      <c r="I400" s="101">
        <f t="shared" si="24"/>
        <v>45177.651388888888</v>
      </c>
      <c r="J400" s="102">
        <f t="shared" si="25"/>
        <v>9</v>
      </c>
      <c r="K400" s="103">
        <f t="shared" si="26"/>
        <v>8</v>
      </c>
      <c r="L400" s="83">
        <f t="shared" si="27"/>
        <v>15</v>
      </c>
    </row>
    <row r="401" spans="1:12" x14ac:dyDescent="0.25">
      <c r="A401" s="105">
        <v>45177.445833333331</v>
      </c>
      <c r="B401" s="107" t="s">
        <v>1591</v>
      </c>
      <c r="C401" s="99" t="s">
        <v>1548</v>
      </c>
      <c r="D401" s="99" t="s">
        <v>1549</v>
      </c>
      <c r="E401" s="93">
        <v>42.5</v>
      </c>
      <c r="F401" s="94" t="s">
        <v>1543</v>
      </c>
      <c r="G401" s="95" t="s">
        <v>331</v>
      </c>
      <c r="H401" s="94">
        <v>105183733</v>
      </c>
      <c r="I401" s="101">
        <f t="shared" si="24"/>
        <v>45177.445833333331</v>
      </c>
      <c r="J401" s="102">
        <f t="shared" si="25"/>
        <v>9</v>
      </c>
      <c r="K401" s="103">
        <f t="shared" si="26"/>
        <v>8</v>
      </c>
      <c r="L401" s="83">
        <f t="shared" si="27"/>
        <v>10</v>
      </c>
    </row>
    <row r="402" spans="1:12" x14ac:dyDescent="0.25">
      <c r="A402" s="105">
        <v>45177.633333333331</v>
      </c>
      <c r="B402" s="107" t="s">
        <v>1592</v>
      </c>
      <c r="C402" s="99" t="s">
        <v>1550</v>
      </c>
      <c r="D402" s="99" t="s">
        <v>1551</v>
      </c>
      <c r="E402" s="93">
        <v>51</v>
      </c>
      <c r="F402" s="94" t="s">
        <v>1543</v>
      </c>
      <c r="G402" s="95" t="s">
        <v>333</v>
      </c>
      <c r="H402" s="94">
        <v>105360286</v>
      </c>
      <c r="I402" s="101">
        <f t="shared" si="24"/>
        <v>45177.633333333331</v>
      </c>
      <c r="J402" s="102">
        <f t="shared" si="25"/>
        <v>9</v>
      </c>
      <c r="K402" s="103">
        <f t="shared" si="26"/>
        <v>8</v>
      </c>
      <c r="L402" s="83">
        <f t="shared" si="27"/>
        <v>15</v>
      </c>
    </row>
    <row r="403" spans="1:12" x14ac:dyDescent="0.25">
      <c r="A403" s="105">
        <v>45177.679166666669</v>
      </c>
      <c r="B403" s="107" t="s">
        <v>1593</v>
      </c>
      <c r="C403" s="99" t="s">
        <v>1562</v>
      </c>
      <c r="D403" s="99" t="s">
        <v>1563</v>
      </c>
      <c r="E403" s="93">
        <v>21</v>
      </c>
      <c r="F403" s="94" t="s">
        <v>1544</v>
      </c>
      <c r="G403" s="95" t="s">
        <v>335</v>
      </c>
      <c r="H403" s="94">
        <v>104702106</v>
      </c>
      <c r="I403" s="101">
        <f t="shared" si="24"/>
        <v>45177.679166666669</v>
      </c>
      <c r="J403" s="102">
        <f t="shared" si="25"/>
        <v>9</v>
      </c>
      <c r="K403" s="103">
        <f t="shared" si="26"/>
        <v>8</v>
      </c>
      <c r="L403" s="83">
        <f t="shared" si="27"/>
        <v>16</v>
      </c>
    </row>
    <row r="404" spans="1:12" x14ac:dyDescent="0.25">
      <c r="A404" s="105">
        <v>45177.450694444444</v>
      </c>
      <c r="B404" s="107" t="s">
        <v>1594</v>
      </c>
      <c r="C404" s="99" t="s">
        <v>1552</v>
      </c>
      <c r="D404" s="99" t="s">
        <v>1553</v>
      </c>
      <c r="E404" s="93">
        <v>11.21</v>
      </c>
      <c r="F404" s="94" t="s">
        <v>1543</v>
      </c>
      <c r="G404" s="95" t="s">
        <v>337</v>
      </c>
      <c r="H404" s="94">
        <v>105246029</v>
      </c>
      <c r="I404" s="101">
        <f t="shared" si="24"/>
        <v>45177.450694444444</v>
      </c>
      <c r="J404" s="102">
        <f t="shared" si="25"/>
        <v>9</v>
      </c>
      <c r="K404" s="103">
        <f t="shared" si="26"/>
        <v>8</v>
      </c>
      <c r="L404" s="83">
        <f t="shared" si="27"/>
        <v>10</v>
      </c>
    </row>
    <row r="405" spans="1:12" x14ac:dyDescent="0.25">
      <c r="A405" s="105">
        <v>45177.550694444442</v>
      </c>
      <c r="B405" s="107" t="s">
        <v>1595</v>
      </c>
      <c r="C405" s="99" t="s">
        <v>1555</v>
      </c>
      <c r="D405" s="99" t="s">
        <v>1556</v>
      </c>
      <c r="E405" s="93">
        <v>181.04</v>
      </c>
      <c r="F405" s="94" t="s">
        <v>1543</v>
      </c>
      <c r="G405" s="95" t="s">
        <v>339</v>
      </c>
      <c r="H405" s="94">
        <v>105178779</v>
      </c>
      <c r="I405" s="101">
        <f t="shared" si="24"/>
        <v>45177.550694444442</v>
      </c>
      <c r="J405" s="102">
        <f t="shared" si="25"/>
        <v>9</v>
      </c>
      <c r="K405" s="103">
        <f t="shared" si="26"/>
        <v>8</v>
      </c>
      <c r="L405" s="83">
        <f t="shared" si="27"/>
        <v>13</v>
      </c>
    </row>
    <row r="406" spans="1:12" x14ac:dyDescent="0.25">
      <c r="A406" s="105">
        <v>45177.622916666667</v>
      </c>
      <c r="B406" s="107" t="s">
        <v>1597</v>
      </c>
      <c r="C406" s="99" t="s">
        <v>1559</v>
      </c>
      <c r="D406" s="99" t="s">
        <v>1560</v>
      </c>
      <c r="E406" s="93">
        <v>104.45</v>
      </c>
      <c r="F406" s="94" t="s">
        <v>1544</v>
      </c>
      <c r="G406" s="95" t="s">
        <v>341</v>
      </c>
      <c r="H406" s="94">
        <v>104825855</v>
      </c>
      <c r="I406" s="101">
        <f t="shared" si="24"/>
        <v>45177.622916666667</v>
      </c>
      <c r="J406" s="102">
        <f t="shared" si="25"/>
        <v>9</v>
      </c>
      <c r="K406" s="103">
        <f t="shared" si="26"/>
        <v>8</v>
      </c>
      <c r="L406" s="83">
        <f t="shared" si="27"/>
        <v>14</v>
      </c>
    </row>
    <row r="407" spans="1:12" x14ac:dyDescent="0.25">
      <c r="A407" s="105">
        <v>45177.7</v>
      </c>
      <c r="B407" s="107" t="s">
        <v>1547</v>
      </c>
      <c r="C407" s="99" t="s">
        <v>1548</v>
      </c>
      <c r="D407" s="99" t="s">
        <v>1549</v>
      </c>
      <c r="E407" s="93">
        <v>50</v>
      </c>
      <c r="F407" s="94" t="s">
        <v>1543</v>
      </c>
      <c r="G407" s="95" t="s">
        <v>343</v>
      </c>
      <c r="H407" s="94">
        <v>103078773</v>
      </c>
      <c r="I407" s="101">
        <f t="shared" si="24"/>
        <v>45177.7</v>
      </c>
      <c r="J407" s="102">
        <f t="shared" si="25"/>
        <v>9</v>
      </c>
      <c r="K407" s="103">
        <f t="shared" si="26"/>
        <v>8</v>
      </c>
      <c r="L407" s="83">
        <f t="shared" si="27"/>
        <v>16</v>
      </c>
    </row>
    <row r="408" spans="1:12" x14ac:dyDescent="0.25">
      <c r="A408" s="105">
        <v>45177.634027777778</v>
      </c>
      <c r="B408" s="107" t="s">
        <v>1554</v>
      </c>
      <c r="C408" s="99" t="s">
        <v>1566</v>
      </c>
      <c r="D408" s="99" t="s">
        <v>1567</v>
      </c>
      <c r="E408" s="93">
        <v>42</v>
      </c>
      <c r="F408" s="94" t="s">
        <v>1543</v>
      </c>
      <c r="G408" s="95" t="s">
        <v>345</v>
      </c>
      <c r="H408" s="94">
        <v>101809878</v>
      </c>
      <c r="I408" s="101">
        <f t="shared" si="24"/>
        <v>45177.634027777778</v>
      </c>
      <c r="J408" s="102">
        <f t="shared" si="25"/>
        <v>9</v>
      </c>
      <c r="K408" s="103">
        <f t="shared" si="26"/>
        <v>8</v>
      </c>
      <c r="L408" s="83">
        <f t="shared" si="27"/>
        <v>15</v>
      </c>
    </row>
    <row r="409" spans="1:12" x14ac:dyDescent="0.25">
      <c r="A409" s="105">
        <v>45177.48333333333</v>
      </c>
      <c r="B409" s="107" t="s">
        <v>1561</v>
      </c>
      <c r="C409" s="99" t="s">
        <v>1564</v>
      </c>
      <c r="D409" s="99" t="s">
        <v>1565</v>
      </c>
      <c r="E409" s="93">
        <v>55</v>
      </c>
      <c r="F409" s="94" t="s">
        <v>1544</v>
      </c>
      <c r="G409" s="95" t="s">
        <v>347</v>
      </c>
      <c r="H409" s="94">
        <v>103979658</v>
      </c>
      <c r="I409" s="101">
        <f t="shared" si="24"/>
        <v>45177.48333333333</v>
      </c>
      <c r="J409" s="102">
        <f t="shared" si="25"/>
        <v>9</v>
      </c>
      <c r="K409" s="103">
        <f t="shared" si="26"/>
        <v>8</v>
      </c>
      <c r="L409" s="83">
        <f t="shared" si="27"/>
        <v>11</v>
      </c>
    </row>
    <row r="410" spans="1:12" x14ac:dyDescent="0.25">
      <c r="A410" s="105">
        <v>45177.640277777777</v>
      </c>
      <c r="B410" s="107" t="s">
        <v>1568</v>
      </c>
      <c r="C410" s="99" t="s">
        <v>1548</v>
      </c>
      <c r="D410" s="99" t="s">
        <v>1549</v>
      </c>
      <c r="E410" s="93">
        <v>60.23</v>
      </c>
      <c r="F410" s="94" t="s">
        <v>1543</v>
      </c>
      <c r="G410" s="95" t="s">
        <v>349</v>
      </c>
      <c r="H410" s="94">
        <v>105450008</v>
      </c>
      <c r="I410" s="101">
        <f t="shared" si="24"/>
        <v>45177.640277777777</v>
      </c>
      <c r="J410" s="102">
        <f t="shared" si="25"/>
        <v>9</v>
      </c>
      <c r="K410" s="103">
        <f t="shared" si="26"/>
        <v>8</v>
      </c>
      <c r="L410" s="83">
        <f t="shared" si="27"/>
        <v>15</v>
      </c>
    </row>
    <row r="411" spans="1:12" x14ac:dyDescent="0.25">
      <c r="A411" s="105">
        <v>45177.769444444442</v>
      </c>
      <c r="B411" s="107" t="s">
        <v>1575</v>
      </c>
      <c r="C411" s="99" t="s">
        <v>1550</v>
      </c>
      <c r="D411" s="99" t="s">
        <v>1551</v>
      </c>
      <c r="E411" s="93">
        <v>150</v>
      </c>
      <c r="F411" s="94" t="s">
        <v>1543</v>
      </c>
      <c r="G411" s="95" t="s">
        <v>352</v>
      </c>
      <c r="H411" s="94">
        <v>102313743</v>
      </c>
      <c r="I411" s="101">
        <f t="shared" si="24"/>
        <v>45177.769444444442</v>
      </c>
      <c r="J411" s="102">
        <f t="shared" si="25"/>
        <v>9</v>
      </c>
      <c r="K411" s="103">
        <f t="shared" si="26"/>
        <v>8</v>
      </c>
      <c r="L411" s="83">
        <f t="shared" si="27"/>
        <v>18</v>
      </c>
    </row>
    <row r="412" spans="1:12" x14ac:dyDescent="0.25">
      <c r="A412" s="105">
        <v>44987.433333333334</v>
      </c>
      <c r="B412" s="107" t="s">
        <v>1582</v>
      </c>
      <c r="C412" s="99" t="s">
        <v>1557</v>
      </c>
      <c r="D412" s="99" t="s">
        <v>1558</v>
      </c>
      <c r="E412" s="93">
        <v>190.87</v>
      </c>
      <c r="F412" s="94" t="s">
        <v>1543</v>
      </c>
      <c r="G412" s="95" t="s">
        <v>354</v>
      </c>
      <c r="H412" s="94">
        <v>104919290</v>
      </c>
      <c r="I412" s="101">
        <f t="shared" si="24"/>
        <v>44987.433333333334</v>
      </c>
      <c r="J412" s="102">
        <f t="shared" si="25"/>
        <v>3</v>
      </c>
      <c r="K412" s="103">
        <f t="shared" si="26"/>
        <v>2</v>
      </c>
      <c r="L412" s="83">
        <f t="shared" si="27"/>
        <v>10</v>
      </c>
    </row>
    <row r="413" spans="1:12" x14ac:dyDescent="0.25">
      <c r="A413" s="105">
        <v>44987.598611111112</v>
      </c>
      <c r="B413" s="107" t="s">
        <v>1586</v>
      </c>
      <c r="C413" s="99" t="s">
        <v>1562</v>
      </c>
      <c r="D413" s="99" t="s">
        <v>1563</v>
      </c>
      <c r="E413" s="93">
        <v>42.55</v>
      </c>
      <c r="F413" s="94" t="s">
        <v>1543</v>
      </c>
      <c r="G413" s="95" t="s">
        <v>356</v>
      </c>
      <c r="H413" s="94">
        <v>100150089</v>
      </c>
      <c r="I413" s="101">
        <f t="shared" si="24"/>
        <v>44987.598611111112</v>
      </c>
      <c r="J413" s="102">
        <f t="shared" si="25"/>
        <v>3</v>
      </c>
      <c r="K413" s="103">
        <f t="shared" si="26"/>
        <v>2</v>
      </c>
      <c r="L413" s="83">
        <f t="shared" si="27"/>
        <v>14</v>
      </c>
    </row>
    <row r="414" spans="1:12" x14ac:dyDescent="0.25">
      <c r="A414" s="105">
        <v>44987.544444444444</v>
      </c>
      <c r="B414" s="107" t="s">
        <v>1589</v>
      </c>
      <c r="C414" s="99" t="s">
        <v>1576</v>
      </c>
      <c r="D414" s="99" t="s">
        <v>1577</v>
      </c>
      <c r="E414" s="93">
        <v>98</v>
      </c>
      <c r="F414" s="94" t="s">
        <v>1543</v>
      </c>
      <c r="G414" s="95" t="s">
        <v>358</v>
      </c>
      <c r="H414" s="94">
        <v>104283591</v>
      </c>
      <c r="I414" s="101">
        <f t="shared" si="24"/>
        <v>44987.544444444444</v>
      </c>
      <c r="J414" s="102">
        <f t="shared" si="25"/>
        <v>3</v>
      </c>
      <c r="K414" s="103">
        <f t="shared" si="26"/>
        <v>2</v>
      </c>
      <c r="L414" s="83">
        <f t="shared" si="27"/>
        <v>13</v>
      </c>
    </row>
    <row r="415" spans="1:12" x14ac:dyDescent="0.25">
      <c r="A415" s="105">
        <v>44987.636111111111</v>
      </c>
      <c r="B415" s="107" t="s">
        <v>1590</v>
      </c>
      <c r="C415" s="99" t="s">
        <v>1569</v>
      </c>
      <c r="D415" s="99" t="s">
        <v>1570</v>
      </c>
      <c r="E415" s="93">
        <v>90</v>
      </c>
      <c r="F415" s="94" t="s">
        <v>1544</v>
      </c>
      <c r="G415" s="95" t="s">
        <v>360</v>
      </c>
      <c r="H415" s="94">
        <v>100549311</v>
      </c>
      <c r="I415" s="101">
        <f t="shared" si="24"/>
        <v>44987.636111111111</v>
      </c>
      <c r="J415" s="102">
        <f t="shared" si="25"/>
        <v>3</v>
      </c>
      <c r="K415" s="103">
        <f t="shared" si="26"/>
        <v>2</v>
      </c>
      <c r="L415" s="83">
        <f t="shared" si="27"/>
        <v>15</v>
      </c>
    </row>
    <row r="416" spans="1:12" x14ac:dyDescent="0.25">
      <c r="A416" s="105">
        <v>44987.599305555559</v>
      </c>
      <c r="B416" s="107" t="s">
        <v>1591</v>
      </c>
      <c r="C416" s="99" t="s">
        <v>1548</v>
      </c>
      <c r="D416" s="99" t="s">
        <v>1549</v>
      </c>
      <c r="E416" s="93">
        <v>101</v>
      </c>
      <c r="F416" s="94" t="s">
        <v>1544</v>
      </c>
      <c r="G416" s="95" t="s">
        <v>362</v>
      </c>
      <c r="H416" s="94">
        <v>103639171</v>
      </c>
      <c r="I416" s="101">
        <f t="shared" si="24"/>
        <v>44987.599305555559</v>
      </c>
      <c r="J416" s="102">
        <f t="shared" si="25"/>
        <v>3</v>
      </c>
      <c r="K416" s="103">
        <f t="shared" si="26"/>
        <v>2</v>
      </c>
      <c r="L416" s="83">
        <f t="shared" si="27"/>
        <v>14</v>
      </c>
    </row>
    <row r="417" spans="1:12" x14ac:dyDescent="0.25">
      <c r="A417" s="105">
        <v>44987.572222222225</v>
      </c>
      <c r="B417" s="107" t="s">
        <v>1592</v>
      </c>
      <c r="C417" s="99" t="s">
        <v>1559</v>
      </c>
      <c r="D417" s="99" t="s">
        <v>1560</v>
      </c>
      <c r="E417" s="93">
        <v>20.77</v>
      </c>
      <c r="F417" s="94" t="s">
        <v>1544</v>
      </c>
      <c r="G417" s="95" t="s">
        <v>364</v>
      </c>
      <c r="H417" s="94">
        <v>104965801</v>
      </c>
      <c r="I417" s="101">
        <f t="shared" si="24"/>
        <v>44987.572222222225</v>
      </c>
      <c r="J417" s="102">
        <f t="shared" si="25"/>
        <v>3</v>
      </c>
      <c r="K417" s="103">
        <f t="shared" si="26"/>
        <v>2</v>
      </c>
      <c r="L417" s="83">
        <f t="shared" si="27"/>
        <v>13</v>
      </c>
    </row>
    <row r="418" spans="1:12" x14ac:dyDescent="0.25">
      <c r="A418" s="105">
        <v>44987.481944444444</v>
      </c>
      <c r="B418" s="107" t="s">
        <v>1593</v>
      </c>
      <c r="C418" s="99" t="s">
        <v>1571</v>
      </c>
      <c r="D418" s="99" t="s">
        <v>1572</v>
      </c>
      <c r="E418" s="93">
        <v>40</v>
      </c>
      <c r="F418" s="94" t="s">
        <v>1543</v>
      </c>
      <c r="G418" s="95" t="s">
        <v>366</v>
      </c>
      <c r="H418" s="94">
        <v>104542745</v>
      </c>
      <c r="I418" s="101">
        <f t="shared" si="24"/>
        <v>44987.481944444444</v>
      </c>
      <c r="J418" s="102">
        <f t="shared" si="25"/>
        <v>3</v>
      </c>
      <c r="K418" s="103">
        <f t="shared" si="26"/>
        <v>2</v>
      </c>
      <c r="L418" s="83">
        <f t="shared" si="27"/>
        <v>11</v>
      </c>
    </row>
    <row r="419" spans="1:12" x14ac:dyDescent="0.25">
      <c r="A419" s="105">
        <v>44987.442361111112</v>
      </c>
      <c r="B419" s="107" t="s">
        <v>1594</v>
      </c>
      <c r="C419" s="99" t="s">
        <v>1550</v>
      </c>
      <c r="D419" s="99" t="s">
        <v>1551</v>
      </c>
      <c r="E419" s="93">
        <v>219.62</v>
      </c>
      <c r="F419" s="94" t="s">
        <v>1543</v>
      </c>
      <c r="G419" s="95" t="s">
        <v>368</v>
      </c>
      <c r="H419" s="94">
        <v>103898941</v>
      </c>
      <c r="I419" s="101">
        <f t="shared" si="24"/>
        <v>44987.442361111112</v>
      </c>
      <c r="J419" s="102">
        <f t="shared" si="25"/>
        <v>3</v>
      </c>
      <c r="K419" s="103">
        <f t="shared" si="26"/>
        <v>2</v>
      </c>
      <c r="L419" s="83">
        <f t="shared" si="27"/>
        <v>10</v>
      </c>
    </row>
    <row r="420" spans="1:12" x14ac:dyDescent="0.25">
      <c r="A420" s="105">
        <v>44987.5625</v>
      </c>
      <c r="B420" s="107" t="s">
        <v>1595</v>
      </c>
      <c r="C420" s="99" t="s">
        <v>1557</v>
      </c>
      <c r="D420" s="99" t="s">
        <v>1558</v>
      </c>
      <c r="E420" s="93">
        <v>186</v>
      </c>
      <c r="F420" s="94" t="s">
        <v>1543</v>
      </c>
      <c r="G420" s="95" t="s">
        <v>370</v>
      </c>
      <c r="H420" s="94">
        <v>104685953</v>
      </c>
      <c r="I420" s="101">
        <f t="shared" si="24"/>
        <v>44987.5625</v>
      </c>
      <c r="J420" s="102">
        <f t="shared" si="25"/>
        <v>3</v>
      </c>
      <c r="K420" s="103">
        <f t="shared" si="26"/>
        <v>2</v>
      </c>
      <c r="L420" s="83">
        <f t="shared" si="27"/>
        <v>13</v>
      </c>
    </row>
    <row r="421" spans="1:12" x14ac:dyDescent="0.25">
      <c r="A421" s="105">
        <v>44987.579861111109</v>
      </c>
      <c r="B421" s="107" t="s">
        <v>1597</v>
      </c>
      <c r="C421" s="99" t="s">
        <v>1555</v>
      </c>
      <c r="D421" s="99" t="s">
        <v>1556</v>
      </c>
      <c r="E421" s="93">
        <v>53.27</v>
      </c>
      <c r="F421" s="94" t="s">
        <v>1543</v>
      </c>
      <c r="G421" s="95" t="s">
        <v>372</v>
      </c>
      <c r="H421" s="94">
        <v>105375398</v>
      </c>
      <c r="I421" s="101">
        <f t="shared" si="24"/>
        <v>44987.579861111109</v>
      </c>
      <c r="J421" s="102">
        <f t="shared" si="25"/>
        <v>3</v>
      </c>
      <c r="K421" s="103">
        <f t="shared" si="26"/>
        <v>2</v>
      </c>
      <c r="L421" s="83">
        <f t="shared" si="27"/>
        <v>13</v>
      </c>
    </row>
    <row r="422" spans="1:12" x14ac:dyDescent="0.25">
      <c r="A422" s="105">
        <v>44987.590277777781</v>
      </c>
      <c r="B422" s="107" t="s">
        <v>1547</v>
      </c>
      <c r="C422" s="99" t="s">
        <v>1548</v>
      </c>
      <c r="D422" s="99" t="s">
        <v>1549</v>
      </c>
      <c r="E422" s="93">
        <v>50.95</v>
      </c>
      <c r="F422" s="94" t="s">
        <v>1543</v>
      </c>
      <c r="G422" s="95" t="s">
        <v>374</v>
      </c>
      <c r="H422" s="94">
        <v>100408772</v>
      </c>
      <c r="I422" s="101">
        <f t="shared" si="24"/>
        <v>44987.590277777781</v>
      </c>
      <c r="J422" s="102">
        <f t="shared" si="25"/>
        <v>3</v>
      </c>
      <c r="K422" s="103">
        <f t="shared" si="26"/>
        <v>2</v>
      </c>
      <c r="L422" s="83">
        <f t="shared" si="27"/>
        <v>14</v>
      </c>
    </row>
    <row r="423" spans="1:12" x14ac:dyDescent="0.25">
      <c r="A423" s="105">
        <v>44987.629861111112</v>
      </c>
      <c r="B423" s="107" t="s">
        <v>1554</v>
      </c>
      <c r="C423" s="99" t="s">
        <v>1550</v>
      </c>
      <c r="D423" s="99" t="s">
        <v>1551</v>
      </c>
      <c r="E423" s="93">
        <v>12.14</v>
      </c>
      <c r="F423" s="94" t="s">
        <v>1543</v>
      </c>
      <c r="G423" s="95" t="s">
        <v>376</v>
      </c>
      <c r="H423" s="94">
        <v>104167177</v>
      </c>
      <c r="I423" s="101">
        <f t="shared" si="24"/>
        <v>44987.629861111112</v>
      </c>
      <c r="J423" s="102">
        <f t="shared" si="25"/>
        <v>3</v>
      </c>
      <c r="K423" s="103">
        <f t="shared" si="26"/>
        <v>2</v>
      </c>
      <c r="L423" s="83">
        <f t="shared" si="27"/>
        <v>15</v>
      </c>
    </row>
    <row r="424" spans="1:12" x14ac:dyDescent="0.25">
      <c r="A424" s="105">
        <v>44987.664583333331</v>
      </c>
      <c r="B424" s="107" t="s">
        <v>1561</v>
      </c>
      <c r="C424" s="99" t="s">
        <v>1552</v>
      </c>
      <c r="D424" s="99" t="s">
        <v>1553</v>
      </c>
      <c r="E424" s="93">
        <v>227.72</v>
      </c>
      <c r="F424" s="94" t="s">
        <v>1543</v>
      </c>
      <c r="G424" s="95" t="s">
        <v>378</v>
      </c>
      <c r="H424" s="94">
        <v>101070399</v>
      </c>
      <c r="I424" s="101">
        <f t="shared" si="24"/>
        <v>44987.664583333331</v>
      </c>
      <c r="J424" s="102">
        <f t="shared" si="25"/>
        <v>3</v>
      </c>
      <c r="K424" s="103">
        <f t="shared" si="26"/>
        <v>2</v>
      </c>
      <c r="L424" s="83">
        <f t="shared" si="27"/>
        <v>15</v>
      </c>
    </row>
    <row r="425" spans="1:12" x14ac:dyDescent="0.25">
      <c r="A425" s="105">
        <v>44987.705555555556</v>
      </c>
      <c r="B425" s="107" t="s">
        <v>1568</v>
      </c>
      <c r="C425" s="99" t="s">
        <v>1555</v>
      </c>
      <c r="D425" s="99" t="s">
        <v>1556</v>
      </c>
      <c r="E425" s="93">
        <v>268</v>
      </c>
      <c r="F425" s="94" t="s">
        <v>1543</v>
      </c>
      <c r="G425" s="95" t="s">
        <v>381</v>
      </c>
      <c r="H425" s="94">
        <v>102514481</v>
      </c>
      <c r="I425" s="101">
        <f t="shared" si="24"/>
        <v>44987.705555555556</v>
      </c>
      <c r="J425" s="102">
        <f t="shared" si="25"/>
        <v>3</v>
      </c>
      <c r="K425" s="103">
        <f t="shared" si="26"/>
        <v>2</v>
      </c>
      <c r="L425" s="83">
        <f t="shared" si="27"/>
        <v>16</v>
      </c>
    </row>
    <row r="426" spans="1:12" x14ac:dyDescent="0.25">
      <c r="A426" s="105">
        <v>44987.722916666666</v>
      </c>
      <c r="B426" s="107" t="s">
        <v>1575</v>
      </c>
      <c r="C426" s="99" t="s">
        <v>1557</v>
      </c>
      <c r="D426" s="99" t="s">
        <v>1558</v>
      </c>
      <c r="E426" s="93">
        <v>120.22</v>
      </c>
      <c r="F426" s="94" t="s">
        <v>1543</v>
      </c>
      <c r="G426" s="95" t="s">
        <v>383</v>
      </c>
      <c r="H426" s="94">
        <v>105706125</v>
      </c>
      <c r="I426" s="101">
        <f t="shared" si="24"/>
        <v>44987.722916666666</v>
      </c>
      <c r="J426" s="102">
        <f t="shared" si="25"/>
        <v>3</v>
      </c>
      <c r="K426" s="103">
        <f t="shared" si="26"/>
        <v>2</v>
      </c>
      <c r="L426" s="83">
        <f t="shared" si="27"/>
        <v>17</v>
      </c>
    </row>
    <row r="427" spans="1:12" x14ac:dyDescent="0.25">
      <c r="A427" s="105">
        <v>44987.756249999999</v>
      </c>
      <c r="B427" s="107" t="s">
        <v>1582</v>
      </c>
      <c r="C427" s="99" t="s">
        <v>1559</v>
      </c>
      <c r="D427" s="99" t="s">
        <v>1560</v>
      </c>
      <c r="E427" s="93">
        <v>40</v>
      </c>
      <c r="F427" s="94" t="s">
        <v>1544</v>
      </c>
      <c r="G427" s="95" t="s">
        <v>385</v>
      </c>
      <c r="H427" s="94">
        <v>104607327</v>
      </c>
      <c r="I427" s="101">
        <f t="shared" si="24"/>
        <v>44987.756249999999</v>
      </c>
      <c r="J427" s="102">
        <f t="shared" si="25"/>
        <v>3</v>
      </c>
      <c r="K427" s="103">
        <f t="shared" si="26"/>
        <v>2</v>
      </c>
      <c r="L427" s="83">
        <f t="shared" si="27"/>
        <v>18</v>
      </c>
    </row>
    <row r="428" spans="1:12" x14ac:dyDescent="0.25">
      <c r="A428" s="105">
        <v>44987.615972222222</v>
      </c>
      <c r="B428" s="107" t="s">
        <v>1586</v>
      </c>
      <c r="C428" s="99" t="s">
        <v>1562</v>
      </c>
      <c r="D428" s="99" t="s">
        <v>1563</v>
      </c>
      <c r="E428" s="93">
        <v>77</v>
      </c>
      <c r="F428" s="94" t="s">
        <v>1543</v>
      </c>
      <c r="G428" s="95" t="s">
        <v>387</v>
      </c>
      <c r="H428" s="94">
        <v>103954841</v>
      </c>
      <c r="I428" s="101">
        <f t="shared" si="24"/>
        <v>44987.615972222222</v>
      </c>
      <c r="J428" s="102">
        <f t="shared" si="25"/>
        <v>3</v>
      </c>
      <c r="K428" s="103">
        <f t="shared" si="26"/>
        <v>2</v>
      </c>
      <c r="L428" s="83">
        <f t="shared" si="27"/>
        <v>14</v>
      </c>
    </row>
    <row r="429" spans="1:12" x14ac:dyDescent="0.25">
      <c r="A429" s="105">
        <v>44987.532638888886</v>
      </c>
      <c r="B429" s="107" t="s">
        <v>1589</v>
      </c>
      <c r="C429" s="99" t="s">
        <v>1564</v>
      </c>
      <c r="D429" s="99" t="s">
        <v>1565</v>
      </c>
      <c r="E429" s="93">
        <v>37.49</v>
      </c>
      <c r="F429" s="94" t="s">
        <v>1543</v>
      </c>
      <c r="G429" s="95" t="s">
        <v>389</v>
      </c>
      <c r="H429" s="94">
        <v>105690653</v>
      </c>
      <c r="I429" s="101">
        <f t="shared" si="24"/>
        <v>44987.532638888886</v>
      </c>
      <c r="J429" s="102">
        <f t="shared" si="25"/>
        <v>3</v>
      </c>
      <c r="K429" s="103">
        <f t="shared" si="26"/>
        <v>2</v>
      </c>
      <c r="L429" s="83">
        <f t="shared" si="27"/>
        <v>12</v>
      </c>
    </row>
    <row r="430" spans="1:12" x14ac:dyDescent="0.25">
      <c r="A430" s="105">
        <v>44987.73333333333</v>
      </c>
      <c r="B430" s="107" t="s">
        <v>1590</v>
      </c>
      <c r="C430" s="99" t="s">
        <v>1566</v>
      </c>
      <c r="D430" s="99" t="s">
        <v>1567</v>
      </c>
      <c r="E430" s="93">
        <v>85.39</v>
      </c>
      <c r="F430" s="94" t="s">
        <v>1543</v>
      </c>
      <c r="G430" s="95" t="s">
        <v>391</v>
      </c>
      <c r="H430" s="94">
        <v>105591648</v>
      </c>
      <c r="I430" s="101">
        <f t="shared" si="24"/>
        <v>44987.73333333333</v>
      </c>
      <c r="J430" s="102">
        <f t="shared" si="25"/>
        <v>3</v>
      </c>
      <c r="K430" s="103">
        <f t="shared" si="26"/>
        <v>2</v>
      </c>
      <c r="L430" s="83">
        <f t="shared" si="27"/>
        <v>17</v>
      </c>
    </row>
    <row r="431" spans="1:12" x14ac:dyDescent="0.25">
      <c r="A431" s="105">
        <v>44987.431944444441</v>
      </c>
      <c r="B431" s="107" t="s">
        <v>1591</v>
      </c>
      <c r="C431" s="99" t="s">
        <v>1569</v>
      </c>
      <c r="D431" s="99" t="s">
        <v>1570</v>
      </c>
      <c r="E431" s="93">
        <v>82.14</v>
      </c>
      <c r="F431" s="94" t="s">
        <v>1543</v>
      </c>
      <c r="G431" s="95" t="s">
        <v>393</v>
      </c>
      <c r="H431" s="94">
        <v>105516579</v>
      </c>
      <c r="I431" s="101">
        <f t="shared" si="24"/>
        <v>44987.431944444441</v>
      </c>
      <c r="J431" s="102">
        <f t="shared" si="25"/>
        <v>3</v>
      </c>
      <c r="K431" s="103">
        <f t="shared" si="26"/>
        <v>2</v>
      </c>
      <c r="L431" s="83">
        <f t="shared" si="27"/>
        <v>10</v>
      </c>
    </row>
    <row r="432" spans="1:12" x14ac:dyDescent="0.25">
      <c r="A432" s="105">
        <v>44987.526388888888</v>
      </c>
      <c r="B432" s="107" t="s">
        <v>1592</v>
      </c>
      <c r="C432" s="99" t="s">
        <v>1571</v>
      </c>
      <c r="D432" s="99" t="s">
        <v>1572</v>
      </c>
      <c r="E432" s="93">
        <v>60</v>
      </c>
      <c r="F432" s="94" t="s">
        <v>1543</v>
      </c>
      <c r="G432" s="95" t="s">
        <v>395</v>
      </c>
      <c r="H432" s="94">
        <v>105446523</v>
      </c>
      <c r="I432" s="101">
        <f t="shared" si="24"/>
        <v>44987.526388888888</v>
      </c>
      <c r="J432" s="102">
        <f t="shared" si="25"/>
        <v>3</v>
      </c>
      <c r="K432" s="103">
        <f t="shared" si="26"/>
        <v>2</v>
      </c>
      <c r="L432" s="83">
        <f t="shared" si="27"/>
        <v>12</v>
      </c>
    </row>
    <row r="433" spans="1:12" x14ac:dyDescent="0.25">
      <c r="A433" s="105">
        <v>44987.627083333333</v>
      </c>
      <c r="B433" s="107" t="s">
        <v>1593</v>
      </c>
      <c r="C433" s="99" t="s">
        <v>1573</v>
      </c>
      <c r="D433" s="99" t="s">
        <v>1574</v>
      </c>
      <c r="E433" s="93">
        <v>81</v>
      </c>
      <c r="F433" s="94" t="s">
        <v>1543</v>
      </c>
      <c r="G433" s="95" t="s">
        <v>397</v>
      </c>
      <c r="H433" s="94">
        <v>104883289</v>
      </c>
      <c r="I433" s="101">
        <f t="shared" si="24"/>
        <v>44987.627083333333</v>
      </c>
      <c r="J433" s="102">
        <f t="shared" si="25"/>
        <v>3</v>
      </c>
      <c r="K433" s="103">
        <f t="shared" si="26"/>
        <v>2</v>
      </c>
      <c r="L433" s="83">
        <f t="shared" si="27"/>
        <v>15</v>
      </c>
    </row>
    <row r="434" spans="1:12" x14ac:dyDescent="0.25">
      <c r="A434" s="105">
        <v>44987.722222222219</v>
      </c>
      <c r="B434" s="107" t="s">
        <v>1594</v>
      </c>
      <c r="C434" s="99" t="s">
        <v>1576</v>
      </c>
      <c r="D434" s="99" t="s">
        <v>1577</v>
      </c>
      <c r="E434" s="93">
        <v>42</v>
      </c>
      <c r="F434" s="94" t="s">
        <v>1543</v>
      </c>
      <c r="G434" s="95" t="s">
        <v>399</v>
      </c>
      <c r="H434" s="94">
        <v>104128299</v>
      </c>
      <c r="I434" s="101">
        <f t="shared" si="24"/>
        <v>44987.722222222219</v>
      </c>
      <c r="J434" s="102">
        <f t="shared" si="25"/>
        <v>3</v>
      </c>
      <c r="K434" s="103">
        <f t="shared" si="26"/>
        <v>2</v>
      </c>
      <c r="L434" s="83">
        <f t="shared" si="27"/>
        <v>17</v>
      </c>
    </row>
    <row r="435" spans="1:12" x14ac:dyDescent="0.25">
      <c r="A435" s="105">
        <v>44987.736111111109</v>
      </c>
      <c r="B435" s="107" t="s">
        <v>1595</v>
      </c>
      <c r="C435" s="99" t="s">
        <v>1578</v>
      </c>
      <c r="D435" s="99" t="s">
        <v>1579</v>
      </c>
      <c r="E435" s="93">
        <v>100.75</v>
      </c>
      <c r="F435" s="94" t="s">
        <v>1543</v>
      </c>
      <c r="G435" s="95" t="s">
        <v>401</v>
      </c>
      <c r="H435" s="94">
        <v>104228025</v>
      </c>
      <c r="I435" s="101">
        <f t="shared" si="24"/>
        <v>44987.736111111109</v>
      </c>
      <c r="J435" s="102">
        <f t="shared" si="25"/>
        <v>3</v>
      </c>
      <c r="K435" s="103">
        <f t="shared" si="26"/>
        <v>2</v>
      </c>
      <c r="L435" s="83">
        <f t="shared" si="27"/>
        <v>17</v>
      </c>
    </row>
    <row r="436" spans="1:12" x14ac:dyDescent="0.25">
      <c r="A436" s="105">
        <v>44987.755555555559</v>
      </c>
      <c r="B436" s="107" t="s">
        <v>1597</v>
      </c>
      <c r="C436" s="99" t="s">
        <v>1580</v>
      </c>
      <c r="D436" s="99" t="s">
        <v>1581</v>
      </c>
      <c r="E436" s="93">
        <v>100</v>
      </c>
      <c r="F436" s="94" t="s">
        <v>1544</v>
      </c>
      <c r="G436" s="95" t="s">
        <v>406</v>
      </c>
      <c r="H436" s="94">
        <v>104607327</v>
      </c>
      <c r="I436" s="101">
        <f t="shared" si="24"/>
        <v>44987.755555555559</v>
      </c>
      <c r="J436" s="102">
        <f t="shared" si="25"/>
        <v>3</v>
      </c>
      <c r="K436" s="103">
        <f t="shared" si="26"/>
        <v>2</v>
      </c>
      <c r="L436" s="83">
        <f t="shared" si="27"/>
        <v>18</v>
      </c>
    </row>
    <row r="437" spans="1:12" x14ac:dyDescent="0.25">
      <c r="A437" s="105">
        <v>44987.660416666666</v>
      </c>
      <c r="B437" s="107" t="s">
        <v>1547</v>
      </c>
      <c r="C437" s="99" t="s">
        <v>1548</v>
      </c>
      <c r="D437" s="99" t="s">
        <v>1549</v>
      </c>
      <c r="E437" s="93">
        <v>82.21</v>
      </c>
      <c r="F437" s="94" t="s">
        <v>1543</v>
      </c>
      <c r="G437" s="95" t="s">
        <v>408</v>
      </c>
      <c r="H437" s="94">
        <v>104995820</v>
      </c>
      <c r="I437" s="101">
        <f t="shared" si="24"/>
        <v>44987.660416666666</v>
      </c>
      <c r="J437" s="102">
        <f t="shared" si="25"/>
        <v>3</v>
      </c>
      <c r="K437" s="103">
        <f t="shared" si="26"/>
        <v>2</v>
      </c>
      <c r="L437" s="83">
        <f t="shared" si="27"/>
        <v>15</v>
      </c>
    </row>
    <row r="438" spans="1:12" x14ac:dyDescent="0.25">
      <c r="A438" s="105">
        <v>44987.688888888886</v>
      </c>
      <c r="B438" s="107" t="s">
        <v>1554</v>
      </c>
      <c r="C438" s="99" t="s">
        <v>1583</v>
      </c>
      <c r="D438" s="99" t="s">
        <v>1574</v>
      </c>
      <c r="E438" s="93">
        <v>105.18</v>
      </c>
      <c r="F438" s="94" t="s">
        <v>1543</v>
      </c>
      <c r="G438" s="95" t="s">
        <v>410</v>
      </c>
      <c r="H438" s="94">
        <v>103606272</v>
      </c>
      <c r="I438" s="101">
        <f t="shared" si="24"/>
        <v>44987.688888888886</v>
      </c>
      <c r="J438" s="102">
        <f t="shared" si="25"/>
        <v>3</v>
      </c>
      <c r="K438" s="103">
        <f t="shared" si="26"/>
        <v>2</v>
      </c>
      <c r="L438" s="83">
        <f t="shared" si="27"/>
        <v>16</v>
      </c>
    </row>
    <row r="439" spans="1:12" x14ac:dyDescent="0.25">
      <c r="A439" s="105">
        <v>44987.611111111109</v>
      </c>
      <c r="B439" s="107" t="s">
        <v>1561</v>
      </c>
      <c r="C439" s="99" t="s">
        <v>1584</v>
      </c>
      <c r="D439" s="99" t="s">
        <v>1585</v>
      </c>
      <c r="E439" s="93">
        <v>147</v>
      </c>
      <c r="F439" s="94" t="s">
        <v>1543</v>
      </c>
      <c r="G439" s="95" t="s">
        <v>412</v>
      </c>
      <c r="H439" s="94">
        <v>105236970</v>
      </c>
      <c r="I439" s="101">
        <f t="shared" si="24"/>
        <v>44987.611111111109</v>
      </c>
      <c r="J439" s="102">
        <f t="shared" si="25"/>
        <v>3</v>
      </c>
      <c r="K439" s="103">
        <f t="shared" si="26"/>
        <v>2</v>
      </c>
      <c r="L439" s="83">
        <f t="shared" si="27"/>
        <v>14</v>
      </c>
    </row>
    <row r="440" spans="1:12" x14ac:dyDescent="0.25">
      <c r="A440" s="105">
        <v>44987.431944444441</v>
      </c>
      <c r="B440" s="107" t="s">
        <v>1568</v>
      </c>
      <c r="C440" s="99" t="s">
        <v>1557</v>
      </c>
      <c r="D440" s="99" t="s">
        <v>1558</v>
      </c>
      <c r="E440" s="93">
        <v>59.59</v>
      </c>
      <c r="F440" s="94" t="s">
        <v>1544</v>
      </c>
      <c r="G440" s="95" t="s">
        <v>414</v>
      </c>
      <c r="H440" s="94">
        <v>104803982</v>
      </c>
      <c r="I440" s="101">
        <f t="shared" si="24"/>
        <v>44987.431944444441</v>
      </c>
      <c r="J440" s="102">
        <f t="shared" si="25"/>
        <v>3</v>
      </c>
      <c r="K440" s="103">
        <f t="shared" si="26"/>
        <v>2</v>
      </c>
      <c r="L440" s="83">
        <f t="shared" si="27"/>
        <v>10</v>
      </c>
    </row>
    <row r="441" spans="1:12" x14ac:dyDescent="0.25">
      <c r="A441" s="105">
        <v>44987.484027777777</v>
      </c>
      <c r="B441" s="107" t="s">
        <v>1575</v>
      </c>
      <c r="C441" s="99" t="s">
        <v>1587</v>
      </c>
      <c r="D441" s="99" t="s">
        <v>1588</v>
      </c>
      <c r="E441" s="93">
        <v>314.49</v>
      </c>
      <c r="F441" s="94" t="s">
        <v>1543</v>
      </c>
      <c r="G441" s="95" t="s">
        <v>416</v>
      </c>
      <c r="H441" s="94">
        <v>102852375</v>
      </c>
      <c r="I441" s="101">
        <f t="shared" si="24"/>
        <v>44987.484027777777</v>
      </c>
      <c r="J441" s="102">
        <f t="shared" si="25"/>
        <v>3</v>
      </c>
      <c r="K441" s="103">
        <f t="shared" si="26"/>
        <v>2</v>
      </c>
      <c r="L441" s="83">
        <f t="shared" si="27"/>
        <v>11</v>
      </c>
    </row>
    <row r="442" spans="1:12" x14ac:dyDescent="0.25">
      <c r="A442" s="105">
        <v>44987.443749999999</v>
      </c>
      <c r="B442" s="107" t="s">
        <v>1582</v>
      </c>
      <c r="C442" s="99" t="s">
        <v>1564</v>
      </c>
      <c r="D442" s="99" t="s">
        <v>1565</v>
      </c>
      <c r="E442" s="93">
        <v>26.27</v>
      </c>
      <c r="F442" s="94" t="s">
        <v>1543</v>
      </c>
      <c r="G442" s="95" t="s">
        <v>418</v>
      </c>
      <c r="H442" s="94">
        <v>105585542</v>
      </c>
      <c r="I442" s="101">
        <f t="shared" si="24"/>
        <v>44987.443749999999</v>
      </c>
      <c r="J442" s="102">
        <f t="shared" si="25"/>
        <v>3</v>
      </c>
      <c r="K442" s="103">
        <f t="shared" si="26"/>
        <v>2</v>
      </c>
      <c r="L442" s="83">
        <f t="shared" si="27"/>
        <v>10</v>
      </c>
    </row>
    <row r="443" spans="1:12" x14ac:dyDescent="0.25">
      <c r="A443" s="105">
        <v>44987.719444444447</v>
      </c>
      <c r="B443" s="107" t="s">
        <v>1586</v>
      </c>
      <c r="C443" s="99" t="s">
        <v>1548</v>
      </c>
      <c r="D443" s="99" t="s">
        <v>1549</v>
      </c>
      <c r="E443" s="93">
        <v>20</v>
      </c>
      <c r="F443" s="94" t="s">
        <v>1543</v>
      </c>
      <c r="G443" s="95" t="s">
        <v>420</v>
      </c>
      <c r="H443" s="94">
        <v>103876210</v>
      </c>
      <c r="I443" s="101">
        <f t="shared" si="24"/>
        <v>44987.719444444447</v>
      </c>
      <c r="J443" s="102">
        <f t="shared" si="25"/>
        <v>3</v>
      </c>
      <c r="K443" s="103">
        <f t="shared" si="26"/>
        <v>2</v>
      </c>
      <c r="L443" s="83">
        <f t="shared" si="27"/>
        <v>17</v>
      </c>
    </row>
    <row r="444" spans="1:12" x14ac:dyDescent="0.25">
      <c r="A444" s="105">
        <v>44987.586805555555</v>
      </c>
      <c r="B444" s="107" t="s">
        <v>1589</v>
      </c>
      <c r="C444" s="99" t="s">
        <v>1550</v>
      </c>
      <c r="D444" s="99" t="s">
        <v>1551</v>
      </c>
      <c r="E444" s="93">
        <v>93.23</v>
      </c>
      <c r="F444" s="94" t="s">
        <v>1543</v>
      </c>
      <c r="G444" s="95" t="s">
        <v>422</v>
      </c>
      <c r="H444" s="94">
        <v>105530244</v>
      </c>
      <c r="I444" s="101">
        <f t="shared" si="24"/>
        <v>44987.586805555555</v>
      </c>
      <c r="J444" s="102">
        <f t="shared" si="25"/>
        <v>3</v>
      </c>
      <c r="K444" s="103">
        <f t="shared" si="26"/>
        <v>2</v>
      </c>
      <c r="L444" s="83">
        <f t="shared" si="27"/>
        <v>14</v>
      </c>
    </row>
    <row r="445" spans="1:12" x14ac:dyDescent="0.25">
      <c r="A445" s="105">
        <v>44987.492361111108</v>
      </c>
      <c r="B445" s="107" t="s">
        <v>1590</v>
      </c>
      <c r="C445" s="99" t="s">
        <v>1562</v>
      </c>
      <c r="D445" s="99" t="s">
        <v>1563</v>
      </c>
      <c r="E445" s="93">
        <v>100</v>
      </c>
      <c r="F445" s="94" t="s">
        <v>1543</v>
      </c>
      <c r="G445" s="95" t="s">
        <v>424</v>
      </c>
      <c r="H445" s="94">
        <v>104977772</v>
      </c>
      <c r="I445" s="101">
        <f t="shared" si="24"/>
        <v>44987.492361111108</v>
      </c>
      <c r="J445" s="102">
        <f t="shared" si="25"/>
        <v>3</v>
      </c>
      <c r="K445" s="103">
        <f t="shared" si="26"/>
        <v>2</v>
      </c>
      <c r="L445" s="83">
        <f t="shared" si="27"/>
        <v>11</v>
      </c>
    </row>
    <row r="446" spans="1:12" x14ac:dyDescent="0.25">
      <c r="A446" s="105">
        <v>44987.447916666664</v>
      </c>
      <c r="B446" s="107" t="s">
        <v>1591</v>
      </c>
      <c r="C446" s="99" t="s">
        <v>1552</v>
      </c>
      <c r="D446" s="99" t="s">
        <v>1553</v>
      </c>
      <c r="E446" s="93">
        <v>124.83</v>
      </c>
      <c r="F446" s="94" t="s">
        <v>1543</v>
      </c>
      <c r="G446" s="95" t="s">
        <v>426</v>
      </c>
      <c r="H446" s="94">
        <v>104101495</v>
      </c>
      <c r="I446" s="101">
        <f t="shared" si="24"/>
        <v>44987.447916666664</v>
      </c>
      <c r="J446" s="102">
        <f t="shared" si="25"/>
        <v>3</v>
      </c>
      <c r="K446" s="103">
        <f t="shared" si="26"/>
        <v>2</v>
      </c>
      <c r="L446" s="83">
        <f t="shared" si="27"/>
        <v>10</v>
      </c>
    </row>
    <row r="447" spans="1:12" x14ac:dyDescent="0.25">
      <c r="A447" s="105">
        <v>44987.688194444447</v>
      </c>
      <c r="B447" s="107" t="s">
        <v>1592</v>
      </c>
      <c r="C447" s="99" t="s">
        <v>1555</v>
      </c>
      <c r="D447" s="99" t="s">
        <v>1556</v>
      </c>
      <c r="E447" s="93">
        <v>57.45</v>
      </c>
      <c r="F447" s="94" t="s">
        <v>1543</v>
      </c>
      <c r="G447" s="95" t="s">
        <v>428</v>
      </c>
      <c r="H447" s="94">
        <v>105246308</v>
      </c>
      <c r="I447" s="101">
        <f t="shared" si="24"/>
        <v>44987.688194444447</v>
      </c>
      <c r="J447" s="102">
        <f t="shared" si="25"/>
        <v>3</v>
      </c>
      <c r="K447" s="103">
        <f t="shared" si="26"/>
        <v>2</v>
      </c>
      <c r="L447" s="83">
        <f t="shared" si="27"/>
        <v>16</v>
      </c>
    </row>
    <row r="448" spans="1:12" x14ac:dyDescent="0.25">
      <c r="A448" s="105">
        <v>44987.731249999997</v>
      </c>
      <c r="B448" s="107" t="s">
        <v>1593</v>
      </c>
      <c r="C448" s="99" t="s">
        <v>1559</v>
      </c>
      <c r="D448" s="99" t="s">
        <v>1560</v>
      </c>
      <c r="E448" s="93">
        <v>69.930000000000007</v>
      </c>
      <c r="F448" s="94" t="s">
        <v>1543</v>
      </c>
      <c r="G448" s="95" t="s">
        <v>430</v>
      </c>
      <c r="H448" s="94">
        <v>102711984</v>
      </c>
      <c r="I448" s="101">
        <f t="shared" si="24"/>
        <v>44987.731249999997</v>
      </c>
      <c r="J448" s="102">
        <f t="shared" si="25"/>
        <v>3</v>
      </c>
      <c r="K448" s="103">
        <f t="shared" si="26"/>
        <v>2</v>
      </c>
      <c r="L448" s="83">
        <f t="shared" si="27"/>
        <v>17</v>
      </c>
    </row>
    <row r="449" spans="1:12" x14ac:dyDescent="0.25">
      <c r="A449" s="105">
        <v>44987.755555555559</v>
      </c>
      <c r="B449" s="107" t="s">
        <v>1594</v>
      </c>
      <c r="C449" s="99" t="s">
        <v>1548</v>
      </c>
      <c r="D449" s="99" t="s">
        <v>1549</v>
      </c>
      <c r="E449" s="93">
        <v>230.17</v>
      </c>
      <c r="F449" s="94" t="s">
        <v>1543</v>
      </c>
      <c r="G449" s="95" t="s">
        <v>433</v>
      </c>
      <c r="H449" s="94">
        <v>105330239</v>
      </c>
      <c r="I449" s="101">
        <f t="shared" si="24"/>
        <v>44987.755555555559</v>
      </c>
      <c r="J449" s="102">
        <f t="shared" si="25"/>
        <v>3</v>
      </c>
      <c r="K449" s="103">
        <f t="shared" si="26"/>
        <v>2</v>
      </c>
      <c r="L449" s="83">
        <f t="shared" si="27"/>
        <v>18</v>
      </c>
    </row>
    <row r="450" spans="1:12" x14ac:dyDescent="0.25">
      <c r="A450" s="105">
        <v>44987.425000000003</v>
      </c>
      <c r="B450" s="107" t="s">
        <v>1595</v>
      </c>
      <c r="C450" s="99" t="s">
        <v>1566</v>
      </c>
      <c r="D450" s="99" t="s">
        <v>1567</v>
      </c>
      <c r="E450" s="93">
        <v>44</v>
      </c>
      <c r="F450" s="94" t="s">
        <v>1543</v>
      </c>
      <c r="G450" s="95" t="s">
        <v>435</v>
      </c>
      <c r="H450" s="94">
        <v>105154341</v>
      </c>
      <c r="I450" s="101">
        <f t="shared" si="24"/>
        <v>44987.425000000003</v>
      </c>
      <c r="J450" s="102">
        <f t="shared" si="25"/>
        <v>3</v>
      </c>
      <c r="K450" s="103">
        <f t="shared" si="26"/>
        <v>2</v>
      </c>
      <c r="L450" s="83">
        <f t="shared" si="27"/>
        <v>10</v>
      </c>
    </row>
    <row r="451" spans="1:12" x14ac:dyDescent="0.25">
      <c r="A451" s="105">
        <v>44987.447222222225</v>
      </c>
      <c r="B451" s="107" t="s">
        <v>1597</v>
      </c>
      <c r="C451" s="99" t="s">
        <v>1564</v>
      </c>
      <c r="D451" s="99" t="s">
        <v>1565</v>
      </c>
      <c r="E451" s="93">
        <v>25.23</v>
      </c>
      <c r="F451" s="94" t="s">
        <v>1543</v>
      </c>
      <c r="G451" s="95" t="s">
        <v>437</v>
      </c>
      <c r="H451" s="94">
        <v>103174294</v>
      </c>
      <c r="I451" s="101">
        <f t="shared" ref="I451:I514" si="28">A451</f>
        <v>44987.447222222225</v>
      </c>
      <c r="J451" s="102">
        <f t="shared" ref="J451:J514" si="29">MONTH(A451)</f>
        <v>3</v>
      </c>
      <c r="K451" s="103">
        <f t="shared" ref="K451:K514" si="30">DAY(A451)</f>
        <v>2</v>
      </c>
      <c r="L451" s="83">
        <f t="shared" ref="L451:L514" si="31">HOUR(A451)</f>
        <v>10</v>
      </c>
    </row>
    <row r="452" spans="1:12" x14ac:dyDescent="0.25">
      <c r="A452" s="105">
        <v>44987.431944444441</v>
      </c>
      <c r="B452" s="107" t="s">
        <v>1547</v>
      </c>
      <c r="C452" s="99" t="s">
        <v>1548</v>
      </c>
      <c r="D452" s="99" t="s">
        <v>1549</v>
      </c>
      <c r="E452" s="93">
        <v>100.47</v>
      </c>
      <c r="F452" s="94" t="s">
        <v>1543</v>
      </c>
      <c r="G452" s="95" t="s">
        <v>439</v>
      </c>
      <c r="H452" s="94">
        <v>105589451</v>
      </c>
      <c r="I452" s="101">
        <f t="shared" si="28"/>
        <v>44987.431944444441</v>
      </c>
      <c r="J452" s="102">
        <f t="shared" si="29"/>
        <v>3</v>
      </c>
      <c r="K452" s="103">
        <f t="shared" si="30"/>
        <v>2</v>
      </c>
      <c r="L452" s="83">
        <f t="shared" si="31"/>
        <v>10</v>
      </c>
    </row>
    <row r="453" spans="1:12" x14ac:dyDescent="0.25">
      <c r="A453" s="105">
        <v>44987.632638888892</v>
      </c>
      <c r="B453" s="107" t="s">
        <v>1554</v>
      </c>
      <c r="C453" s="99" t="s">
        <v>1550</v>
      </c>
      <c r="D453" s="99" t="s">
        <v>1551</v>
      </c>
      <c r="E453" s="93">
        <v>141</v>
      </c>
      <c r="F453" s="94" t="s">
        <v>1543</v>
      </c>
      <c r="G453" s="95" t="s">
        <v>441</v>
      </c>
      <c r="H453" s="94">
        <v>105131564</v>
      </c>
      <c r="I453" s="101">
        <f t="shared" si="28"/>
        <v>44987.632638888892</v>
      </c>
      <c r="J453" s="102">
        <f t="shared" si="29"/>
        <v>3</v>
      </c>
      <c r="K453" s="103">
        <f t="shared" si="30"/>
        <v>2</v>
      </c>
      <c r="L453" s="83">
        <f t="shared" si="31"/>
        <v>15</v>
      </c>
    </row>
    <row r="454" spans="1:12" x14ac:dyDescent="0.25">
      <c r="A454" s="105">
        <v>44987.546527777777</v>
      </c>
      <c r="B454" s="107" t="s">
        <v>1561</v>
      </c>
      <c r="C454" s="99" t="s">
        <v>1557</v>
      </c>
      <c r="D454" s="99" t="s">
        <v>1558</v>
      </c>
      <c r="E454" s="93">
        <v>112.47</v>
      </c>
      <c r="F454" s="94" t="s">
        <v>1543</v>
      </c>
      <c r="G454" s="95" t="s">
        <v>443</v>
      </c>
      <c r="H454" s="94">
        <v>105105157</v>
      </c>
      <c r="I454" s="101">
        <f t="shared" si="28"/>
        <v>44987.546527777777</v>
      </c>
      <c r="J454" s="102">
        <f t="shared" si="29"/>
        <v>3</v>
      </c>
      <c r="K454" s="103">
        <f t="shared" si="30"/>
        <v>2</v>
      </c>
      <c r="L454" s="83">
        <f t="shared" si="31"/>
        <v>13</v>
      </c>
    </row>
    <row r="455" spans="1:12" x14ac:dyDescent="0.25">
      <c r="A455" s="105">
        <v>44987.452777777777</v>
      </c>
      <c r="B455" s="107" t="s">
        <v>1568</v>
      </c>
      <c r="C455" s="99" t="s">
        <v>1562</v>
      </c>
      <c r="D455" s="99" t="s">
        <v>1563</v>
      </c>
      <c r="E455" s="93">
        <v>98.64</v>
      </c>
      <c r="F455" s="94" t="s">
        <v>1543</v>
      </c>
      <c r="G455" s="95" t="s">
        <v>445</v>
      </c>
      <c r="H455" s="94">
        <v>105353681</v>
      </c>
      <c r="I455" s="101">
        <f t="shared" si="28"/>
        <v>44987.452777777777</v>
      </c>
      <c r="J455" s="102">
        <f t="shared" si="29"/>
        <v>3</v>
      </c>
      <c r="K455" s="103">
        <f t="shared" si="30"/>
        <v>2</v>
      </c>
      <c r="L455" s="83">
        <f t="shared" si="31"/>
        <v>10</v>
      </c>
    </row>
    <row r="456" spans="1:12" x14ac:dyDescent="0.25">
      <c r="A456" s="105">
        <v>44987.426388888889</v>
      </c>
      <c r="B456" s="107" t="s">
        <v>1575</v>
      </c>
      <c r="C456" s="99" t="s">
        <v>1576</v>
      </c>
      <c r="D456" s="99" t="s">
        <v>1577</v>
      </c>
      <c r="E456" s="93">
        <v>77.040000000000006</v>
      </c>
      <c r="F456" s="94" t="s">
        <v>1543</v>
      </c>
      <c r="G456" s="95" t="s">
        <v>447</v>
      </c>
      <c r="H456" s="94">
        <v>105161255</v>
      </c>
      <c r="I456" s="101">
        <f t="shared" si="28"/>
        <v>44987.426388888889</v>
      </c>
      <c r="J456" s="102">
        <f t="shared" si="29"/>
        <v>3</v>
      </c>
      <c r="K456" s="103">
        <f t="shared" si="30"/>
        <v>2</v>
      </c>
      <c r="L456" s="83">
        <f t="shared" si="31"/>
        <v>10</v>
      </c>
    </row>
    <row r="457" spans="1:12" x14ac:dyDescent="0.25">
      <c r="A457" s="105">
        <v>44987.479166666664</v>
      </c>
      <c r="B457" s="107" t="s">
        <v>1582</v>
      </c>
      <c r="C457" s="99" t="s">
        <v>1569</v>
      </c>
      <c r="D457" s="99" t="s">
        <v>1570</v>
      </c>
      <c r="E457" s="93">
        <v>100</v>
      </c>
      <c r="F457" s="94" t="s">
        <v>1544</v>
      </c>
      <c r="G457" s="95" t="s">
        <v>449</v>
      </c>
      <c r="H457" s="94">
        <v>104542745</v>
      </c>
      <c r="I457" s="101">
        <f t="shared" si="28"/>
        <v>44987.479166666664</v>
      </c>
      <c r="J457" s="102">
        <f t="shared" si="29"/>
        <v>3</v>
      </c>
      <c r="K457" s="103">
        <f t="shared" si="30"/>
        <v>2</v>
      </c>
      <c r="L457" s="83">
        <f t="shared" si="31"/>
        <v>11</v>
      </c>
    </row>
    <row r="458" spans="1:12" x14ac:dyDescent="0.25">
      <c r="A458" s="105">
        <v>44987.777777777781</v>
      </c>
      <c r="B458" s="107" t="s">
        <v>1586</v>
      </c>
      <c r="C458" s="99" t="s">
        <v>1548</v>
      </c>
      <c r="D458" s="99" t="s">
        <v>1549</v>
      </c>
      <c r="E458" s="93">
        <v>16.13</v>
      </c>
      <c r="F458" s="94" t="s">
        <v>1544</v>
      </c>
      <c r="G458" s="95" t="s">
        <v>452</v>
      </c>
      <c r="H458" s="94">
        <v>105699908</v>
      </c>
      <c r="I458" s="101">
        <f t="shared" si="28"/>
        <v>44987.777777777781</v>
      </c>
      <c r="J458" s="102">
        <f t="shared" si="29"/>
        <v>3</v>
      </c>
      <c r="K458" s="103">
        <f t="shared" si="30"/>
        <v>2</v>
      </c>
      <c r="L458" s="83">
        <f t="shared" si="31"/>
        <v>18</v>
      </c>
    </row>
    <row r="459" spans="1:12" x14ac:dyDescent="0.25">
      <c r="A459" s="105">
        <v>44987.630555555559</v>
      </c>
      <c r="B459" s="107" t="s">
        <v>1589</v>
      </c>
      <c r="C459" s="99" t="s">
        <v>1559</v>
      </c>
      <c r="D459" s="99" t="s">
        <v>1560</v>
      </c>
      <c r="E459" s="93">
        <v>101.36</v>
      </c>
      <c r="F459" s="94" t="s">
        <v>1543</v>
      </c>
      <c r="G459" s="95" t="s">
        <v>454</v>
      </c>
      <c r="H459" s="94">
        <v>100406886</v>
      </c>
      <c r="I459" s="101">
        <f t="shared" si="28"/>
        <v>44987.630555555559</v>
      </c>
      <c r="J459" s="102">
        <f t="shared" si="29"/>
        <v>3</v>
      </c>
      <c r="K459" s="103">
        <f t="shared" si="30"/>
        <v>2</v>
      </c>
      <c r="L459" s="83">
        <f t="shared" si="31"/>
        <v>15</v>
      </c>
    </row>
    <row r="460" spans="1:12" x14ac:dyDescent="0.25">
      <c r="A460" s="105">
        <v>44987.629166666666</v>
      </c>
      <c r="B460" s="107" t="s">
        <v>1590</v>
      </c>
      <c r="C460" s="99" t="s">
        <v>1571</v>
      </c>
      <c r="D460" s="99" t="s">
        <v>1572</v>
      </c>
      <c r="E460" s="93">
        <v>140.97999999999999</v>
      </c>
      <c r="F460" s="94" t="s">
        <v>1543</v>
      </c>
      <c r="G460" s="95" t="s">
        <v>456</v>
      </c>
      <c r="H460" s="94">
        <v>104399502</v>
      </c>
      <c r="I460" s="101">
        <f t="shared" si="28"/>
        <v>44987.629166666666</v>
      </c>
      <c r="J460" s="102">
        <f t="shared" si="29"/>
        <v>3</v>
      </c>
      <c r="K460" s="103">
        <f t="shared" si="30"/>
        <v>2</v>
      </c>
      <c r="L460" s="83">
        <f t="shared" si="31"/>
        <v>15</v>
      </c>
    </row>
    <row r="461" spans="1:12" x14ac:dyDescent="0.25">
      <c r="A461" s="105">
        <v>44987.47152777778</v>
      </c>
      <c r="B461" s="107" t="s">
        <v>1591</v>
      </c>
      <c r="C461" s="99" t="s">
        <v>1550</v>
      </c>
      <c r="D461" s="99" t="s">
        <v>1551</v>
      </c>
      <c r="E461" s="93">
        <v>43.43</v>
      </c>
      <c r="F461" s="94" t="s">
        <v>1543</v>
      </c>
      <c r="G461" s="95" t="s">
        <v>458</v>
      </c>
      <c r="H461" s="94">
        <v>105671524</v>
      </c>
      <c r="I461" s="101">
        <f t="shared" si="28"/>
        <v>44987.47152777778</v>
      </c>
      <c r="J461" s="102">
        <f t="shared" si="29"/>
        <v>3</v>
      </c>
      <c r="K461" s="103">
        <f t="shared" si="30"/>
        <v>2</v>
      </c>
      <c r="L461" s="83">
        <f t="shared" si="31"/>
        <v>11</v>
      </c>
    </row>
    <row r="462" spans="1:12" x14ac:dyDescent="0.25">
      <c r="A462" s="105">
        <v>44987.627083333333</v>
      </c>
      <c r="B462" s="107" t="s">
        <v>1592</v>
      </c>
      <c r="C462" s="99" t="s">
        <v>1557</v>
      </c>
      <c r="D462" s="99" t="s">
        <v>1558</v>
      </c>
      <c r="E462" s="93">
        <v>136.59</v>
      </c>
      <c r="F462" s="94" t="s">
        <v>1543</v>
      </c>
      <c r="G462" s="95" t="s">
        <v>460</v>
      </c>
      <c r="H462" s="94">
        <v>103073277</v>
      </c>
      <c r="I462" s="101">
        <f t="shared" si="28"/>
        <v>44987.627083333333</v>
      </c>
      <c r="J462" s="102">
        <f t="shared" si="29"/>
        <v>3</v>
      </c>
      <c r="K462" s="103">
        <f t="shared" si="30"/>
        <v>2</v>
      </c>
      <c r="L462" s="83">
        <f t="shared" si="31"/>
        <v>15</v>
      </c>
    </row>
    <row r="463" spans="1:12" x14ac:dyDescent="0.25">
      <c r="A463" s="105">
        <v>44987.645138888889</v>
      </c>
      <c r="B463" s="107" t="s">
        <v>1593</v>
      </c>
      <c r="C463" s="99" t="s">
        <v>1555</v>
      </c>
      <c r="D463" s="99" t="s">
        <v>1556</v>
      </c>
      <c r="E463" s="93">
        <v>152</v>
      </c>
      <c r="F463" s="94" t="s">
        <v>1543</v>
      </c>
      <c r="G463" s="95" t="s">
        <v>462</v>
      </c>
      <c r="H463" s="94">
        <v>103606817</v>
      </c>
      <c r="I463" s="101">
        <f t="shared" si="28"/>
        <v>44987.645138888889</v>
      </c>
      <c r="J463" s="102">
        <f t="shared" si="29"/>
        <v>3</v>
      </c>
      <c r="K463" s="103">
        <f t="shared" si="30"/>
        <v>2</v>
      </c>
      <c r="L463" s="83">
        <f t="shared" si="31"/>
        <v>15</v>
      </c>
    </row>
    <row r="464" spans="1:12" x14ac:dyDescent="0.25">
      <c r="A464" s="105">
        <v>44987.456944444442</v>
      </c>
      <c r="B464" s="107" t="s">
        <v>1594</v>
      </c>
      <c r="C464" s="99" t="s">
        <v>1548</v>
      </c>
      <c r="D464" s="99" t="s">
        <v>1549</v>
      </c>
      <c r="E464" s="93">
        <v>56.48</v>
      </c>
      <c r="F464" s="94" t="s">
        <v>1543</v>
      </c>
      <c r="G464" s="95" t="s">
        <v>464</v>
      </c>
      <c r="H464" s="94">
        <v>103462776</v>
      </c>
      <c r="I464" s="101">
        <f t="shared" si="28"/>
        <v>44987.456944444442</v>
      </c>
      <c r="J464" s="102">
        <f t="shared" si="29"/>
        <v>3</v>
      </c>
      <c r="K464" s="103">
        <f t="shared" si="30"/>
        <v>2</v>
      </c>
      <c r="L464" s="83">
        <f t="shared" si="31"/>
        <v>10</v>
      </c>
    </row>
    <row r="465" spans="1:12" x14ac:dyDescent="0.25">
      <c r="A465" s="105">
        <v>44987.749305555553</v>
      </c>
      <c r="B465" s="107" t="s">
        <v>1595</v>
      </c>
      <c r="C465" s="99" t="s">
        <v>1550</v>
      </c>
      <c r="D465" s="99" t="s">
        <v>1551</v>
      </c>
      <c r="E465" s="93">
        <v>36.520000000000003</v>
      </c>
      <c r="F465" s="94" t="s">
        <v>1543</v>
      </c>
      <c r="G465" s="95" t="s">
        <v>466</v>
      </c>
      <c r="H465" s="94">
        <v>105590122</v>
      </c>
      <c r="I465" s="101">
        <f t="shared" si="28"/>
        <v>44987.749305555553</v>
      </c>
      <c r="J465" s="102">
        <f t="shared" si="29"/>
        <v>3</v>
      </c>
      <c r="K465" s="103">
        <f t="shared" si="30"/>
        <v>2</v>
      </c>
      <c r="L465" s="83">
        <f t="shared" si="31"/>
        <v>17</v>
      </c>
    </row>
    <row r="466" spans="1:12" x14ac:dyDescent="0.25">
      <c r="A466" s="105">
        <v>44987.736111111109</v>
      </c>
      <c r="B466" s="107" t="s">
        <v>1597</v>
      </c>
      <c r="C466" s="99" t="s">
        <v>1552</v>
      </c>
      <c r="D466" s="99" t="s">
        <v>1553</v>
      </c>
      <c r="E466" s="93">
        <v>60.61</v>
      </c>
      <c r="F466" s="94" t="s">
        <v>1543</v>
      </c>
      <c r="G466" s="95" t="s">
        <v>468</v>
      </c>
      <c r="H466" s="94">
        <v>105752207</v>
      </c>
      <c r="I466" s="101">
        <f t="shared" si="28"/>
        <v>44987.736111111109</v>
      </c>
      <c r="J466" s="102">
        <f t="shared" si="29"/>
        <v>3</v>
      </c>
      <c r="K466" s="103">
        <f t="shared" si="30"/>
        <v>2</v>
      </c>
      <c r="L466" s="83">
        <f t="shared" si="31"/>
        <v>17</v>
      </c>
    </row>
    <row r="467" spans="1:12" x14ac:dyDescent="0.25">
      <c r="A467" s="105">
        <v>44987.525000000001</v>
      </c>
      <c r="B467" s="107" t="s">
        <v>1547</v>
      </c>
      <c r="C467" s="99" t="s">
        <v>1555</v>
      </c>
      <c r="D467" s="99" t="s">
        <v>1556</v>
      </c>
      <c r="E467" s="93">
        <v>129.09</v>
      </c>
      <c r="F467" s="94" t="s">
        <v>1543</v>
      </c>
      <c r="G467" s="95" t="s">
        <v>470</v>
      </c>
      <c r="H467" s="94">
        <v>101336014</v>
      </c>
      <c r="I467" s="101">
        <f t="shared" si="28"/>
        <v>44987.525000000001</v>
      </c>
      <c r="J467" s="102">
        <f t="shared" si="29"/>
        <v>3</v>
      </c>
      <c r="K467" s="103">
        <f t="shared" si="30"/>
        <v>2</v>
      </c>
      <c r="L467" s="83">
        <f t="shared" si="31"/>
        <v>12</v>
      </c>
    </row>
    <row r="468" spans="1:12" x14ac:dyDescent="0.25">
      <c r="A468" s="105">
        <v>44987.440972222219</v>
      </c>
      <c r="B468" s="107" t="s">
        <v>1554</v>
      </c>
      <c r="C468" s="99" t="s">
        <v>1557</v>
      </c>
      <c r="D468" s="99" t="s">
        <v>1558</v>
      </c>
      <c r="E468" s="93">
        <v>12.71</v>
      </c>
      <c r="F468" s="94" t="s">
        <v>1544</v>
      </c>
      <c r="G468" s="95" t="s">
        <v>472</v>
      </c>
      <c r="H468" s="94">
        <v>102432103</v>
      </c>
      <c r="I468" s="101">
        <f t="shared" si="28"/>
        <v>44987.440972222219</v>
      </c>
      <c r="J468" s="102">
        <f t="shared" si="29"/>
        <v>3</v>
      </c>
      <c r="K468" s="103">
        <f t="shared" si="30"/>
        <v>2</v>
      </c>
      <c r="L468" s="83">
        <f t="shared" si="31"/>
        <v>10</v>
      </c>
    </row>
    <row r="469" spans="1:12" x14ac:dyDescent="0.25">
      <c r="A469" s="105">
        <v>44987.43472222222</v>
      </c>
      <c r="B469" s="107" t="s">
        <v>1561</v>
      </c>
      <c r="C469" s="99" t="s">
        <v>1559</v>
      </c>
      <c r="D469" s="99" t="s">
        <v>1560</v>
      </c>
      <c r="E469" s="93">
        <v>20</v>
      </c>
      <c r="F469" s="94" t="s">
        <v>1544</v>
      </c>
      <c r="G469" s="95" t="s">
        <v>475</v>
      </c>
      <c r="H469" s="94">
        <v>103828210</v>
      </c>
      <c r="I469" s="101">
        <f t="shared" si="28"/>
        <v>44987.43472222222</v>
      </c>
      <c r="J469" s="102">
        <f t="shared" si="29"/>
        <v>3</v>
      </c>
      <c r="K469" s="103">
        <f t="shared" si="30"/>
        <v>2</v>
      </c>
      <c r="L469" s="83">
        <f t="shared" si="31"/>
        <v>10</v>
      </c>
    </row>
    <row r="470" spans="1:12" x14ac:dyDescent="0.25">
      <c r="A470" s="105">
        <v>44987.540972222225</v>
      </c>
      <c r="B470" s="107" t="s">
        <v>1568</v>
      </c>
      <c r="C470" s="99" t="s">
        <v>1562</v>
      </c>
      <c r="D470" s="99" t="s">
        <v>1563</v>
      </c>
      <c r="E470" s="93">
        <v>133.18</v>
      </c>
      <c r="F470" s="94" t="s">
        <v>1543</v>
      </c>
      <c r="G470" s="95" t="s">
        <v>477</v>
      </c>
      <c r="H470" s="94">
        <v>103689390</v>
      </c>
      <c r="I470" s="101">
        <f t="shared" si="28"/>
        <v>44987.540972222225</v>
      </c>
      <c r="J470" s="102">
        <f t="shared" si="29"/>
        <v>3</v>
      </c>
      <c r="K470" s="103">
        <f t="shared" si="30"/>
        <v>2</v>
      </c>
      <c r="L470" s="83">
        <f t="shared" si="31"/>
        <v>12</v>
      </c>
    </row>
    <row r="471" spans="1:12" x14ac:dyDescent="0.25">
      <c r="A471" s="105">
        <v>44987.423611111109</v>
      </c>
      <c r="B471" s="107" t="s">
        <v>1575</v>
      </c>
      <c r="C471" s="99" t="s">
        <v>1564</v>
      </c>
      <c r="D471" s="99" t="s">
        <v>1565</v>
      </c>
      <c r="E471" s="93">
        <v>216</v>
      </c>
      <c r="F471" s="94" t="s">
        <v>1543</v>
      </c>
      <c r="G471" s="95" t="s">
        <v>479</v>
      </c>
      <c r="H471" s="94">
        <v>104362014</v>
      </c>
      <c r="I471" s="101">
        <f t="shared" si="28"/>
        <v>44987.423611111109</v>
      </c>
      <c r="J471" s="102">
        <f t="shared" si="29"/>
        <v>3</v>
      </c>
      <c r="K471" s="103">
        <f t="shared" si="30"/>
        <v>2</v>
      </c>
      <c r="L471" s="83">
        <f t="shared" si="31"/>
        <v>10</v>
      </c>
    </row>
    <row r="472" spans="1:12" x14ac:dyDescent="0.25">
      <c r="A472" s="105">
        <v>44987.717361111114</v>
      </c>
      <c r="B472" s="107" t="s">
        <v>1582</v>
      </c>
      <c r="C472" s="99" t="s">
        <v>1566</v>
      </c>
      <c r="D472" s="99" t="s">
        <v>1567</v>
      </c>
      <c r="E472" s="93">
        <v>238</v>
      </c>
      <c r="F472" s="94" t="s">
        <v>1543</v>
      </c>
      <c r="G472" s="95" t="s">
        <v>481</v>
      </c>
      <c r="H472" s="94">
        <v>105055366</v>
      </c>
      <c r="I472" s="101">
        <f t="shared" si="28"/>
        <v>44987.717361111114</v>
      </c>
      <c r="J472" s="102">
        <f t="shared" si="29"/>
        <v>3</v>
      </c>
      <c r="K472" s="103">
        <f t="shared" si="30"/>
        <v>2</v>
      </c>
      <c r="L472" s="83">
        <f t="shared" si="31"/>
        <v>17</v>
      </c>
    </row>
    <row r="473" spans="1:12" x14ac:dyDescent="0.25">
      <c r="A473" s="105">
        <v>44987.631249999999</v>
      </c>
      <c r="B473" s="107" t="s">
        <v>1586</v>
      </c>
      <c r="C473" s="99" t="s">
        <v>1569</v>
      </c>
      <c r="D473" s="99" t="s">
        <v>1570</v>
      </c>
      <c r="E473" s="93">
        <v>200</v>
      </c>
      <c r="F473" s="94" t="s">
        <v>1543</v>
      </c>
      <c r="G473" s="95" t="s">
        <v>483</v>
      </c>
      <c r="H473" s="94">
        <v>102143830</v>
      </c>
      <c r="I473" s="101">
        <f t="shared" si="28"/>
        <v>44987.631249999999</v>
      </c>
      <c r="J473" s="102">
        <f t="shared" si="29"/>
        <v>3</v>
      </c>
      <c r="K473" s="103">
        <f t="shared" si="30"/>
        <v>2</v>
      </c>
      <c r="L473" s="83">
        <f t="shared" si="31"/>
        <v>15</v>
      </c>
    </row>
    <row r="474" spans="1:12" x14ac:dyDescent="0.25">
      <c r="A474" s="105">
        <v>44987.597222222219</v>
      </c>
      <c r="B474" s="107" t="s">
        <v>1589</v>
      </c>
      <c r="C474" s="99" t="s">
        <v>1571</v>
      </c>
      <c r="D474" s="99" t="s">
        <v>1572</v>
      </c>
      <c r="E474" s="93">
        <v>210</v>
      </c>
      <c r="F474" s="94" t="s">
        <v>1543</v>
      </c>
      <c r="G474" s="95" t="s">
        <v>485</v>
      </c>
      <c r="H474" s="94">
        <v>105132025</v>
      </c>
      <c r="I474" s="101">
        <f t="shared" si="28"/>
        <v>44987.597222222219</v>
      </c>
      <c r="J474" s="102">
        <f t="shared" si="29"/>
        <v>3</v>
      </c>
      <c r="K474" s="103">
        <f t="shared" si="30"/>
        <v>2</v>
      </c>
      <c r="L474" s="83">
        <f t="shared" si="31"/>
        <v>14</v>
      </c>
    </row>
    <row r="475" spans="1:12" x14ac:dyDescent="0.25">
      <c r="A475" s="105">
        <v>44987.48333333333</v>
      </c>
      <c r="B475" s="107" t="s">
        <v>1590</v>
      </c>
      <c r="C475" s="99" t="s">
        <v>1573</v>
      </c>
      <c r="D475" s="99" t="s">
        <v>1574</v>
      </c>
      <c r="E475" s="93">
        <v>47</v>
      </c>
      <c r="F475" s="94" t="s">
        <v>1543</v>
      </c>
      <c r="G475" s="95" t="s">
        <v>487</v>
      </c>
      <c r="H475" s="94">
        <v>105336116</v>
      </c>
      <c r="I475" s="101">
        <f t="shared" si="28"/>
        <v>44987.48333333333</v>
      </c>
      <c r="J475" s="102">
        <f t="shared" si="29"/>
        <v>3</v>
      </c>
      <c r="K475" s="103">
        <f t="shared" si="30"/>
        <v>2</v>
      </c>
      <c r="L475" s="83">
        <f t="shared" si="31"/>
        <v>11</v>
      </c>
    </row>
    <row r="476" spans="1:12" x14ac:dyDescent="0.25">
      <c r="A476" s="105">
        <v>44987.643750000003</v>
      </c>
      <c r="B476" s="107" t="s">
        <v>1591</v>
      </c>
      <c r="C476" s="99" t="s">
        <v>1576</v>
      </c>
      <c r="D476" s="99" t="s">
        <v>1577</v>
      </c>
      <c r="E476" s="93">
        <v>97.24</v>
      </c>
      <c r="F476" s="94" t="s">
        <v>1543</v>
      </c>
      <c r="G476" s="95" t="s">
        <v>489</v>
      </c>
      <c r="H476" s="94">
        <v>102463160</v>
      </c>
      <c r="I476" s="101">
        <f t="shared" si="28"/>
        <v>44987.643750000003</v>
      </c>
      <c r="J476" s="102">
        <f t="shared" si="29"/>
        <v>3</v>
      </c>
      <c r="K476" s="103">
        <f t="shared" si="30"/>
        <v>2</v>
      </c>
      <c r="L476" s="83">
        <f t="shared" si="31"/>
        <v>15</v>
      </c>
    </row>
    <row r="477" spans="1:12" x14ac:dyDescent="0.25">
      <c r="A477" s="105">
        <v>44987.7</v>
      </c>
      <c r="B477" s="107" t="s">
        <v>1592</v>
      </c>
      <c r="C477" s="99" t="s">
        <v>1578</v>
      </c>
      <c r="D477" s="99" t="s">
        <v>1579</v>
      </c>
      <c r="E477" s="93">
        <v>165</v>
      </c>
      <c r="F477" s="94" t="s">
        <v>1543</v>
      </c>
      <c r="G477" s="95" t="s">
        <v>491</v>
      </c>
      <c r="H477" s="94">
        <v>105272642</v>
      </c>
      <c r="I477" s="101">
        <f t="shared" si="28"/>
        <v>44987.7</v>
      </c>
      <c r="J477" s="102">
        <f t="shared" si="29"/>
        <v>3</v>
      </c>
      <c r="K477" s="103">
        <f t="shared" si="30"/>
        <v>2</v>
      </c>
      <c r="L477" s="83">
        <f t="shared" si="31"/>
        <v>16</v>
      </c>
    </row>
    <row r="478" spans="1:12" x14ac:dyDescent="0.25">
      <c r="A478" s="105">
        <v>44987.725694444445</v>
      </c>
      <c r="B478" s="107" t="s">
        <v>1593</v>
      </c>
      <c r="C478" s="99" t="s">
        <v>1580</v>
      </c>
      <c r="D478" s="99" t="s">
        <v>1581</v>
      </c>
      <c r="E478" s="93">
        <v>265.70999999999998</v>
      </c>
      <c r="F478" s="94" t="s">
        <v>1543</v>
      </c>
      <c r="G478" s="95" t="s">
        <v>493</v>
      </c>
      <c r="H478" s="94">
        <v>102696115</v>
      </c>
      <c r="I478" s="101">
        <f t="shared" si="28"/>
        <v>44987.725694444445</v>
      </c>
      <c r="J478" s="102">
        <f t="shared" si="29"/>
        <v>3</v>
      </c>
      <c r="K478" s="103">
        <f t="shared" si="30"/>
        <v>2</v>
      </c>
      <c r="L478" s="83">
        <f t="shared" si="31"/>
        <v>17</v>
      </c>
    </row>
    <row r="479" spans="1:12" x14ac:dyDescent="0.25">
      <c r="A479" s="105">
        <v>44987.627083333333</v>
      </c>
      <c r="B479" s="107" t="s">
        <v>1594</v>
      </c>
      <c r="C479" s="99" t="s">
        <v>1548</v>
      </c>
      <c r="D479" s="99" t="s">
        <v>1549</v>
      </c>
      <c r="E479" s="93">
        <v>46.79</v>
      </c>
      <c r="F479" s="94" t="s">
        <v>1543</v>
      </c>
      <c r="G479" s="95" t="s">
        <v>495</v>
      </c>
      <c r="H479" s="94">
        <v>105338624</v>
      </c>
      <c r="I479" s="101">
        <f t="shared" si="28"/>
        <v>44987.627083333333</v>
      </c>
      <c r="J479" s="102">
        <f t="shared" si="29"/>
        <v>3</v>
      </c>
      <c r="K479" s="103">
        <f t="shared" si="30"/>
        <v>2</v>
      </c>
      <c r="L479" s="83">
        <f t="shared" si="31"/>
        <v>15</v>
      </c>
    </row>
    <row r="480" spans="1:12" x14ac:dyDescent="0.25">
      <c r="A480" s="105">
        <v>44987.493055555555</v>
      </c>
      <c r="B480" s="107" t="s">
        <v>1595</v>
      </c>
      <c r="C480" s="99" t="s">
        <v>1583</v>
      </c>
      <c r="D480" s="99" t="s">
        <v>1574</v>
      </c>
      <c r="E480" s="93">
        <v>60</v>
      </c>
      <c r="F480" s="94" t="s">
        <v>1543</v>
      </c>
      <c r="G480" s="95" t="s">
        <v>498</v>
      </c>
      <c r="H480" s="94">
        <v>103929667</v>
      </c>
      <c r="I480" s="101">
        <f t="shared" si="28"/>
        <v>44987.493055555555</v>
      </c>
      <c r="J480" s="102">
        <f t="shared" si="29"/>
        <v>3</v>
      </c>
      <c r="K480" s="103">
        <f t="shared" si="30"/>
        <v>2</v>
      </c>
      <c r="L480" s="83">
        <f t="shared" si="31"/>
        <v>11</v>
      </c>
    </row>
    <row r="481" spans="1:12" x14ac:dyDescent="0.25">
      <c r="A481" s="105">
        <v>44987.714583333334</v>
      </c>
      <c r="B481" s="107" t="s">
        <v>1597</v>
      </c>
      <c r="C481" s="99" t="s">
        <v>1584</v>
      </c>
      <c r="D481" s="99" t="s">
        <v>1585</v>
      </c>
      <c r="E481" s="93">
        <v>60</v>
      </c>
      <c r="F481" s="94" t="s">
        <v>1543</v>
      </c>
      <c r="G481" s="95" t="s">
        <v>500</v>
      </c>
      <c r="H481" s="94">
        <v>103211936</v>
      </c>
      <c r="I481" s="101">
        <f t="shared" si="28"/>
        <v>44987.714583333334</v>
      </c>
      <c r="J481" s="102">
        <f t="shared" si="29"/>
        <v>3</v>
      </c>
      <c r="K481" s="103">
        <f t="shared" si="30"/>
        <v>2</v>
      </c>
      <c r="L481" s="83">
        <f t="shared" si="31"/>
        <v>17</v>
      </c>
    </row>
    <row r="482" spans="1:12" x14ac:dyDescent="0.25">
      <c r="A482" s="105">
        <v>44987.6</v>
      </c>
      <c r="B482" s="107" t="s">
        <v>1547</v>
      </c>
      <c r="C482" s="99" t="s">
        <v>1557</v>
      </c>
      <c r="D482" s="99" t="s">
        <v>1558</v>
      </c>
      <c r="E482" s="93">
        <v>144</v>
      </c>
      <c r="F482" s="94" t="s">
        <v>1543</v>
      </c>
      <c r="G482" s="95" t="s">
        <v>502</v>
      </c>
      <c r="H482" s="94">
        <v>100249995</v>
      </c>
      <c r="I482" s="101">
        <f t="shared" si="28"/>
        <v>44987.6</v>
      </c>
      <c r="J482" s="102">
        <f t="shared" si="29"/>
        <v>3</v>
      </c>
      <c r="K482" s="103">
        <f t="shared" si="30"/>
        <v>2</v>
      </c>
      <c r="L482" s="83">
        <f t="shared" si="31"/>
        <v>14</v>
      </c>
    </row>
    <row r="483" spans="1:12" x14ac:dyDescent="0.25">
      <c r="A483" s="105">
        <v>44987.626388888886</v>
      </c>
      <c r="B483" s="107" t="s">
        <v>1554</v>
      </c>
      <c r="C483" s="99" t="s">
        <v>1587</v>
      </c>
      <c r="D483" s="99" t="s">
        <v>1588</v>
      </c>
      <c r="E483" s="93">
        <v>133.68</v>
      </c>
      <c r="F483" s="94" t="s">
        <v>1543</v>
      </c>
      <c r="G483" s="95" t="s">
        <v>504</v>
      </c>
      <c r="H483" s="94">
        <v>101697446</v>
      </c>
      <c r="I483" s="101">
        <f t="shared" si="28"/>
        <v>44987.626388888886</v>
      </c>
      <c r="J483" s="102">
        <f t="shared" si="29"/>
        <v>3</v>
      </c>
      <c r="K483" s="103">
        <f t="shared" si="30"/>
        <v>2</v>
      </c>
      <c r="L483" s="83">
        <f t="shared" si="31"/>
        <v>15</v>
      </c>
    </row>
    <row r="484" spans="1:12" x14ac:dyDescent="0.25">
      <c r="A484" s="105">
        <v>44987.718055555553</v>
      </c>
      <c r="B484" s="107" t="s">
        <v>1561</v>
      </c>
      <c r="C484" s="99" t="s">
        <v>1564</v>
      </c>
      <c r="D484" s="99" t="s">
        <v>1565</v>
      </c>
      <c r="E484" s="93">
        <v>85.78</v>
      </c>
      <c r="F484" s="94" t="s">
        <v>1543</v>
      </c>
      <c r="G484" s="95" t="s">
        <v>506</v>
      </c>
      <c r="H484" s="94">
        <v>105086749</v>
      </c>
      <c r="I484" s="101">
        <f t="shared" si="28"/>
        <v>44987.718055555553</v>
      </c>
      <c r="J484" s="102">
        <f t="shared" si="29"/>
        <v>3</v>
      </c>
      <c r="K484" s="103">
        <f t="shared" si="30"/>
        <v>2</v>
      </c>
      <c r="L484" s="83">
        <f t="shared" si="31"/>
        <v>17</v>
      </c>
    </row>
    <row r="485" spans="1:12" x14ac:dyDescent="0.25">
      <c r="A485" s="105">
        <v>44987.68472222222</v>
      </c>
      <c r="B485" s="107" t="s">
        <v>1568</v>
      </c>
      <c r="C485" s="99" t="s">
        <v>1548</v>
      </c>
      <c r="D485" s="99" t="s">
        <v>1549</v>
      </c>
      <c r="E485" s="93">
        <v>106</v>
      </c>
      <c r="F485" s="94" t="s">
        <v>1543</v>
      </c>
      <c r="G485" s="95" t="s">
        <v>508</v>
      </c>
      <c r="H485" s="94">
        <v>104917020</v>
      </c>
      <c r="I485" s="101">
        <f t="shared" si="28"/>
        <v>44987.68472222222</v>
      </c>
      <c r="J485" s="102">
        <f t="shared" si="29"/>
        <v>3</v>
      </c>
      <c r="K485" s="103">
        <f t="shared" si="30"/>
        <v>2</v>
      </c>
      <c r="L485" s="83">
        <f t="shared" si="31"/>
        <v>16</v>
      </c>
    </row>
    <row r="486" spans="1:12" x14ac:dyDescent="0.25">
      <c r="A486" s="105">
        <v>44987.672222222223</v>
      </c>
      <c r="B486" s="107" t="s">
        <v>1575</v>
      </c>
      <c r="C486" s="99" t="s">
        <v>1550</v>
      </c>
      <c r="D486" s="99" t="s">
        <v>1551</v>
      </c>
      <c r="E486" s="93">
        <v>150</v>
      </c>
      <c r="F486" s="94" t="s">
        <v>1543</v>
      </c>
      <c r="G486" s="95" t="s">
        <v>510</v>
      </c>
      <c r="H486" s="94">
        <v>102923283</v>
      </c>
      <c r="I486" s="101">
        <f t="shared" si="28"/>
        <v>44987.672222222223</v>
      </c>
      <c r="J486" s="102">
        <f t="shared" si="29"/>
        <v>3</v>
      </c>
      <c r="K486" s="103">
        <f t="shared" si="30"/>
        <v>2</v>
      </c>
      <c r="L486" s="83">
        <f t="shared" si="31"/>
        <v>16</v>
      </c>
    </row>
    <row r="487" spans="1:12" x14ac:dyDescent="0.25">
      <c r="A487" s="105">
        <v>44987.431944444441</v>
      </c>
      <c r="B487" s="107" t="s">
        <v>1582</v>
      </c>
      <c r="C487" s="99" t="s">
        <v>1562</v>
      </c>
      <c r="D487" s="99" t="s">
        <v>1563</v>
      </c>
      <c r="E487" s="93">
        <v>105</v>
      </c>
      <c r="F487" s="94" t="s">
        <v>1544</v>
      </c>
      <c r="G487" s="95" t="s">
        <v>512</v>
      </c>
      <c r="H487" s="94">
        <v>103828210</v>
      </c>
      <c r="I487" s="101">
        <f t="shared" si="28"/>
        <v>44987.431944444441</v>
      </c>
      <c r="J487" s="102">
        <f t="shared" si="29"/>
        <v>3</v>
      </c>
      <c r="K487" s="103">
        <f t="shared" si="30"/>
        <v>2</v>
      </c>
      <c r="L487" s="83">
        <f t="shared" si="31"/>
        <v>10</v>
      </c>
    </row>
    <row r="488" spans="1:12" x14ac:dyDescent="0.25">
      <c r="A488" s="105">
        <v>44987.70208333333</v>
      </c>
      <c r="B488" s="107" t="s">
        <v>1586</v>
      </c>
      <c r="C488" s="99" t="s">
        <v>1552</v>
      </c>
      <c r="D488" s="99" t="s">
        <v>1553</v>
      </c>
      <c r="E488" s="93">
        <v>20</v>
      </c>
      <c r="F488" s="94" t="s">
        <v>1543</v>
      </c>
      <c r="G488" s="95" t="s">
        <v>514</v>
      </c>
      <c r="H488" s="94">
        <v>103078773</v>
      </c>
      <c r="I488" s="101">
        <f t="shared" si="28"/>
        <v>44987.70208333333</v>
      </c>
      <c r="J488" s="102">
        <f t="shared" si="29"/>
        <v>3</v>
      </c>
      <c r="K488" s="103">
        <f t="shared" si="30"/>
        <v>2</v>
      </c>
      <c r="L488" s="83">
        <f t="shared" si="31"/>
        <v>16</v>
      </c>
    </row>
    <row r="489" spans="1:12" x14ac:dyDescent="0.25">
      <c r="A489" s="105">
        <v>44987.665972222225</v>
      </c>
      <c r="B489" s="107" t="s">
        <v>1589</v>
      </c>
      <c r="C489" s="99" t="s">
        <v>1555</v>
      </c>
      <c r="D489" s="99" t="s">
        <v>1556</v>
      </c>
      <c r="E489" s="93">
        <v>44</v>
      </c>
      <c r="F489" s="94" t="s">
        <v>1543</v>
      </c>
      <c r="G489" s="95" t="s">
        <v>516</v>
      </c>
      <c r="H489" s="94">
        <v>105011835</v>
      </c>
      <c r="I489" s="101">
        <f t="shared" si="28"/>
        <v>44987.665972222225</v>
      </c>
      <c r="J489" s="102">
        <f t="shared" si="29"/>
        <v>3</v>
      </c>
      <c r="K489" s="103">
        <f t="shared" si="30"/>
        <v>2</v>
      </c>
      <c r="L489" s="83">
        <f t="shared" si="31"/>
        <v>15</v>
      </c>
    </row>
    <row r="490" spans="1:12" x14ac:dyDescent="0.25">
      <c r="A490" s="105">
        <v>44987.456944444442</v>
      </c>
      <c r="B490" s="107" t="s">
        <v>1590</v>
      </c>
      <c r="C490" s="99" t="s">
        <v>1559</v>
      </c>
      <c r="D490" s="99" t="s">
        <v>1560</v>
      </c>
      <c r="E490" s="93">
        <v>64.790000000000006</v>
      </c>
      <c r="F490" s="94" t="s">
        <v>1543</v>
      </c>
      <c r="G490" s="95" t="s">
        <v>518</v>
      </c>
      <c r="H490" s="94">
        <v>105413894</v>
      </c>
      <c r="I490" s="101">
        <f t="shared" si="28"/>
        <v>44987.456944444442</v>
      </c>
      <c r="J490" s="102">
        <f t="shared" si="29"/>
        <v>3</v>
      </c>
      <c r="K490" s="103">
        <f t="shared" si="30"/>
        <v>2</v>
      </c>
      <c r="L490" s="83">
        <f t="shared" si="31"/>
        <v>10</v>
      </c>
    </row>
    <row r="491" spans="1:12" x14ac:dyDescent="0.25">
      <c r="A491" s="105">
        <v>44987.458333333336</v>
      </c>
      <c r="B491" s="107" t="s">
        <v>1591</v>
      </c>
      <c r="C491" s="99" t="s">
        <v>1548</v>
      </c>
      <c r="D491" s="99" t="s">
        <v>1549</v>
      </c>
      <c r="E491" s="93">
        <v>53</v>
      </c>
      <c r="F491" s="94" t="s">
        <v>1544</v>
      </c>
      <c r="G491" s="95" t="s">
        <v>520</v>
      </c>
      <c r="H491" s="94">
        <v>103693136</v>
      </c>
      <c r="I491" s="101">
        <f t="shared" si="28"/>
        <v>44987.458333333336</v>
      </c>
      <c r="J491" s="102">
        <f t="shared" si="29"/>
        <v>3</v>
      </c>
      <c r="K491" s="103">
        <f t="shared" si="30"/>
        <v>2</v>
      </c>
      <c r="L491" s="83">
        <f t="shared" si="31"/>
        <v>11</v>
      </c>
    </row>
    <row r="492" spans="1:12" x14ac:dyDescent="0.25">
      <c r="A492" s="105">
        <v>44987.568055555559</v>
      </c>
      <c r="B492" s="107" t="s">
        <v>1592</v>
      </c>
      <c r="C492" s="99" t="s">
        <v>1566</v>
      </c>
      <c r="D492" s="99" t="s">
        <v>1567</v>
      </c>
      <c r="E492" s="93">
        <v>50</v>
      </c>
      <c r="F492" s="94" t="s">
        <v>1544</v>
      </c>
      <c r="G492" s="95" t="s">
        <v>522</v>
      </c>
      <c r="H492" s="94">
        <v>104965801</v>
      </c>
      <c r="I492" s="101">
        <f t="shared" si="28"/>
        <v>44987.568055555559</v>
      </c>
      <c r="J492" s="102">
        <f t="shared" si="29"/>
        <v>3</v>
      </c>
      <c r="K492" s="103">
        <f t="shared" si="30"/>
        <v>2</v>
      </c>
      <c r="L492" s="83">
        <f t="shared" si="31"/>
        <v>13</v>
      </c>
    </row>
    <row r="493" spans="1:12" x14ac:dyDescent="0.25">
      <c r="A493" s="105">
        <v>44987.756249999999</v>
      </c>
      <c r="B493" s="107" t="s">
        <v>1593</v>
      </c>
      <c r="C493" s="99" t="s">
        <v>1564</v>
      </c>
      <c r="D493" s="99" t="s">
        <v>1565</v>
      </c>
      <c r="E493" s="93">
        <v>126</v>
      </c>
      <c r="F493" s="94" t="s">
        <v>1543</v>
      </c>
      <c r="G493" s="95" t="s">
        <v>525</v>
      </c>
      <c r="H493" s="94">
        <v>104729282</v>
      </c>
      <c r="I493" s="101">
        <f t="shared" si="28"/>
        <v>44987.756249999999</v>
      </c>
      <c r="J493" s="102">
        <f t="shared" si="29"/>
        <v>3</v>
      </c>
      <c r="K493" s="103">
        <f t="shared" si="30"/>
        <v>2</v>
      </c>
      <c r="L493" s="83">
        <f t="shared" si="31"/>
        <v>18</v>
      </c>
    </row>
    <row r="494" spans="1:12" x14ac:dyDescent="0.25">
      <c r="A494" s="105">
        <v>44987.775000000001</v>
      </c>
      <c r="B494" s="107" t="s">
        <v>1594</v>
      </c>
      <c r="C494" s="99" t="s">
        <v>1548</v>
      </c>
      <c r="D494" s="99" t="s">
        <v>1549</v>
      </c>
      <c r="E494" s="93">
        <v>80.84</v>
      </c>
      <c r="F494" s="94" t="s">
        <v>1543</v>
      </c>
      <c r="G494" s="95" t="s">
        <v>527</v>
      </c>
      <c r="H494" s="94">
        <v>105624641</v>
      </c>
      <c r="I494" s="101">
        <f t="shared" si="28"/>
        <v>44987.775000000001</v>
      </c>
      <c r="J494" s="102">
        <f t="shared" si="29"/>
        <v>3</v>
      </c>
      <c r="K494" s="103">
        <f t="shared" si="30"/>
        <v>2</v>
      </c>
      <c r="L494" s="83">
        <f t="shared" si="31"/>
        <v>18</v>
      </c>
    </row>
    <row r="495" spans="1:12" x14ac:dyDescent="0.25">
      <c r="A495" s="105">
        <v>44987.675000000003</v>
      </c>
      <c r="B495" s="107" t="s">
        <v>1595</v>
      </c>
      <c r="C495" s="99" t="s">
        <v>1550</v>
      </c>
      <c r="D495" s="99" t="s">
        <v>1551</v>
      </c>
      <c r="E495" s="93">
        <v>130</v>
      </c>
      <c r="F495" s="94" t="s">
        <v>1543</v>
      </c>
      <c r="G495" s="95" t="s">
        <v>529</v>
      </c>
      <c r="H495" s="94">
        <v>102453204</v>
      </c>
      <c r="I495" s="101">
        <f t="shared" si="28"/>
        <v>44987.675000000003</v>
      </c>
      <c r="J495" s="102">
        <f t="shared" si="29"/>
        <v>3</v>
      </c>
      <c r="K495" s="103">
        <f t="shared" si="30"/>
        <v>2</v>
      </c>
      <c r="L495" s="83">
        <f t="shared" si="31"/>
        <v>16</v>
      </c>
    </row>
    <row r="496" spans="1:12" x14ac:dyDescent="0.25">
      <c r="A496" s="105">
        <v>44987.508333333331</v>
      </c>
      <c r="B496" s="107" t="s">
        <v>1597</v>
      </c>
      <c r="C496" s="99" t="s">
        <v>1557</v>
      </c>
      <c r="D496" s="99" t="s">
        <v>1558</v>
      </c>
      <c r="E496" s="93">
        <v>421</v>
      </c>
      <c r="F496" s="94" t="s">
        <v>1543</v>
      </c>
      <c r="G496" s="95" t="s">
        <v>531</v>
      </c>
      <c r="H496" s="94">
        <v>104193076</v>
      </c>
      <c r="I496" s="101">
        <f t="shared" si="28"/>
        <v>44987.508333333331</v>
      </c>
      <c r="J496" s="102">
        <f t="shared" si="29"/>
        <v>3</v>
      </c>
      <c r="K496" s="103">
        <f t="shared" si="30"/>
        <v>2</v>
      </c>
      <c r="L496" s="83">
        <f t="shared" si="31"/>
        <v>12</v>
      </c>
    </row>
    <row r="497" spans="1:12" x14ac:dyDescent="0.25">
      <c r="A497" s="105">
        <v>44928.724999999999</v>
      </c>
      <c r="B497" s="107" t="s">
        <v>1547</v>
      </c>
      <c r="C497" s="99" t="s">
        <v>1562</v>
      </c>
      <c r="D497" s="99" t="s">
        <v>1563</v>
      </c>
      <c r="E497" s="93">
        <v>27.67</v>
      </c>
      <c r="F497" s="94" t="s">
        <v>1543</v>
      </c>
      <c r="G497" s="95" t="s">
        <v>533</v>
      </c>
      <c r="H497" s="94">
        <v>105337707</v>
      </c>
      <c r="I497" s="101">
        <f t="shared" si="28"/>
        <v>44928.724999999999</v>
      </c>
      <c r="J497" s="102">
        <f t="shared" si="29"/>
        <v>1</v>
      </c>
      <c r="K497" s="103">
        <f t="shared" si="30"/>
        <v>2</v>
      </c>
      <c r="L497" s="83">
        <f t="shared" si="31"/>
        <v>17</v>
      </c>
    </row>
    <row r="498" spans="1:12" x14ac:dyDescent="0.25">
      <c r="A498" s="105">
        <v>44928.428472222222</v>
      </c>
      <c r="B498" s="107" t="s">
        <v>1554</v>
      </c>
      <c r="C498" s="99" t="s">
        <v>1576</v>
      </c>
      <c r="D498" s="99" t="s">
        <v>1577</v>
      </c>
      <c r="E498" s="93">
        <v>165.72</v>
      </c>
      <c r="F498" s="94" t="s">
        <v>1543</v>
      </c>
      <c r="G498" s="95" t="s">
        <v>535</v>
      </c>
      <c r="H498" s="94">
        <v>104595129</v>
      </c>
      <c r="I498" s="101">
        <f t="shared" si="28"/>
        <v>44928.428472222222</v>
      </c>
      <c r="J498" s="102">
        <f t="shared" si="29"/>
        <v>1</v>
      </c>
      <c r="K498" s="103">
        <f t="shared" si="30"/>
        <v>2</v>
      </c>
      <c r="L498" s="83">
        <f t="shared" si="31"/>
        <v>10</v>
      </c>
    </row>
    <row r="499" spans="1:12" x14ac:dyDescent="0.25">
      <c r="A499" s="105">
        <v>44928.692361111112</v>
      </c>
      <c r="B499" s="107" t="s">
        <v>1561</v>
      </c>
      <c r="C499" s="99" t="s">
        <v>1569</v>
      </c>
      <c r="D499" s="99" t="s">
        <v>1570</v>
      </c>
      <c r="E499" s="93">
        <v>386.26</v>
      </c>
      <c r="F499" s="94" t="s">
        <v>1543</v>
      </c>
      <c r="G499" s="95" t="s">
        <v>537</v>
      </c>
      <c r="H499" s="94">
        <v>101413441</v>
      </c>
      <c r="I499" s="101">
        <f t="shared" si="28"/>
        <v>44928.692361111112</v>
      </c>
      <c r="J499" s="102">
        <f t="shared" si="29"/>
        <v>1</v>
      </c>
      <c r="K499" s="103">
        <f t="shared" si="30"/>
        <v>2</v>
      </c>
      <c r="L499" s="83">
        <f t="shared" si="31"/>
        <v>16</v>
      </c>
    </row>
    <row r="500" spans="1:12" x14ac:dyDescent="0.25">
      <c r="A500" s="105">
        <v>44928.640277777777</v>
      </c>
      <c r="B500" s="107" t="s">
        <v>1568</v>
      </c>
      <c r="C500" s="99" t="s">
        <v>1548</v>
      </c>
      <c r="D500" s="99" t="s">
        <v>1549</v>
      </c>
      <c r="E500" s="93">
        <v>71</v>
      </c>
      <c r="F500" s="94" t="s">
        <v>1543</v>
      </c>
      <c r="G500" s="95" t="s">
        <v>13</v>
      </c>
      <c r="H500" s="94">
        <v>103640255</v>
      </c>
      <c r="I500" s="101">
        <f t="shared" si="28"/>
        <v>44928.640277777777</v>
      </c>
      <c r="J500" s="102">
        <f t="shared" si="29"/>
        <v>1</v>
      </c>
      <c r="K500" s="103">
        <f t="shared" si="30"/>
        <v>2</v>
      </c>
      <c r="L500" s="83">
        <f t="shared" si="31"/>
        <v>15</v>
      </c>
    </row>
    <row r="501" spans="1:12" x14ac:dyDescent="0.25">
      <c r="A501" s="105">
        <v>44928.480555555558</v>
      </c>
      <c r="B501" s="107" t="s">
        <v>1575</v>
      </c>
      <c r="C501" s="99" t="s">
        <v>1559</v>
      </c>
      <c r="D501" s="99" t="s">
        <v>1560</v>
      </c>
      <c r="E501" s="93">
        <v>40</v>
      </c>
      <c r="F501" s="94" t="s">
        <v>1543</v>
      </c>
      <c r="G501" s="95" t="s">
        <v>18</v>
      </c>
      <c r="H501" s="94">
        <v>104542745</v>
      </c>
      <c r="I501" s="101">
        <f t="shared" si="28"/>
        <v>44928.480555555558</v>
      </c>
      <c r="J501" s="102">
        <f t="shared" si="29"/>
        <v>1</v>
      </c>
      <c r="K501" s="103">
        <f t="shared" si="30"/>
        <v>2</v>
      </c>
      <c r="L501" s="83">
        <f t="shared" si="31"/>
        <v>11</v>
      </c>
    </row>
    <row r="502" spans="1:12" x14ac:dyDescent="0.25">
      <c r="A502" s="105">
        <v>44928.43472222222</v>
      </c>
      <c r="B502" s="107" t="s">
        <v>1582</v>
      </c>
      <c r="C502" s="99" t="s">
        <v>1571</v>
      </c>
      <c r="D502" s="99" t="s">
        <v>1572</v>
      </c>
      <c r="E502" s="93">
        <v>30</v>
      </c>
      <c r="F502" s="94" t="s">
        <v>1543</v>
      </c>
      <c r="G502" s="95" t="s">
        <v>20</v>
      </c>
      <c r="H502" s="94">
        <v>104977958</v>
      </c>
      <c r="I502" s="101">
        <f t="shared" si="28"/>
        <v>44928.43472222222</v>
      </c>
      <c r="J502" s="102">
        <f t="shared" si="29"/>
        <v>1</v>
      </c>
      <c r="K502" s="103">
        <f t="shared" si="30"/>
        <v>2</v>
      </c>
      <c r="L502" s="83">
        <f t="shared" si="31"/>
        <v>10</v>
      </c>
    </row>
    <row r="503" spans="1:12" x14ac:dyDescent="0.25">
      <c r="A503" s="105">
        <v>44928.486111111109</v>
      </c>
      <c r="B503" s="107" t="s">
        <v>1586</v>
      </c>
      <c r="C503" s="99" t="s">
        <v>1550</v>
      </c>
      <c r="D503" s="99" t="s">
        <v>1551</v>
      </c>
      <c r="E503" s="93">
        <v>109</v>
      </c>
      <c r="F503" s="94" t="s">
        <v>1543</v>
      </c>
      <c r="G503" s="95" t="s">
        <v>22</v>
      </c>
      <c r="H503" s="94">
        <v>105556693</v>
      </c>
      <c r="I503" s="101">
        <f t="shared" si="28"/>
        <v>44928.486111111109</v>
      </c>
      <c r="J503" s="102">
        <f t="shared" si="29"/>
        <v>1</v>
      </c>
      <c r="K503" s="103">
        <f t="shared" si="30"/>
        <v>2</v>
      </c>
      <c r="L503" s="83">
        <f t="shared" si="31"/>
        <v>11</v>
      </c>
    </row>
    <row r="504" spans="1:12" x14ac:dyDescent="0.25">
      <c r="A504" s="105">
        <v>44928.783333333333</v>
      </c>
      <c r="B504" s="107" t="s">
        <v>1589</v>
      </c>
      <c r="C504" s="99" t="s">
        <v>1557</v>
      </c>
      <c r="D504" s="99" t="s">
        <v>1558</v>
      </c>
      <c r="E504" s="93">
        <v>92</v>
      </c>
      <c r="F504" s="94" t="s">
        <v>1543</v>
      </c>
      <c r="G504" s="95" t="s">
        <v>24</v>
      </c>
      <c r="H504" s="94">
        <v>105481950</v>
      </c>
      <c r="I504" s="101">
        <f t="shared" si="28"/>
        <v>44928.783333333333</v>
      </c>
      <c r="J504" s="102">
        <f t="shared" si="29"/>
        <v>1</v>
      </c>
      <c r="K504" s="103">
        <f t="shared" si="30"/>
        <v>2</v>
      </c>
      <c r="L504" s="83">
        <f t="shared" si="31"/>
        <v>18</v>
      </c>
    </row>
    <row r="505" spans="1:12" x14ac:dyDescent="0.25">
      <c r="A505" s="105">
        <v>44928.673611111109</v>
      </c>
      <c r="B505" s="107" t="s">
        <v>1590</v>
      </c>
      <c r="C505" s="99" t="s">
        <v>1555</v>
      </c>
      <c r="D505" s="99" t="s">
        <v>1556</v>
      </c>
      <c r="E505" s="93">
        <v>22</v>
      </c>
      <c r="F505" s="94" t="s">
        <v>1543</v>
      </c>
      <c r="G505" s="95" t="s">
        <v>26</v>
      </c>
      <c r="H505" s="94">
        <v>104986621</v>
      </c>
      <c r="I505" s="101">
        <f t="shared" si="28"/>
        <v>44928.673611111109</v>
      </c>
      <c r="J505" s="102">
        <f t="shared" si="29"/>
        <v>1</v>
      </c>
      <c r="K505" s="103">
        <f t="shared" si="30"/>
        <v>2</v>
      </c>
      <c r="L505" s="83">
        <f t="shared" si="31"/>
        <v>16</v>
      </c>
    </row>
    <row r="506" spans="1:12" x14ac:dyDescent="0.25">
      <c r="A506" s="105">
        <v>44928.623611111114</v>
      </c>
      <c r="B506" s="107" t="s">
        <v>1591</v>
      </c>
      <c r="C506" s="99" t="s">
        <v>1548</v>
      </c>
      <c r="D506" s="99" t="s">
        <v>1549</v>
      </c>
      <c r="E506" s="93">
        <v>87</v>
      </c>
      <c r="F506" s="94" t="s">
        <v>1543</v>
      </c>
      <c r="G506" s="95" t="s">
        <v>28</v>
      </c>
      <c r="H506" s="94">
        <v>103864203</v>
      </c>
      <c r="I506" s="101">
        <f t="shared" si="28"/>
        <v>44928.623611111114</v>
      </c>
      <c r="J506" s="102">
        <f t="shared" si="29"/>
        <v>1</v>
      </c>
      <c r="K506" s="103">
        <f t="shared" si="30"/>
        <v>2</v>
      </c>
      <c r="L506" s="83">
        <f t="shared" si="31"/>
        <v>14</v>
      </c>
    </row>
    <row r="507" spans="1:12" x14ac:dyDescent="0.25">
      <c r="A507" s="105">
        <v>44928.606944444444</v>
      </c>
      <c r="B507" s="107" t="s">
        <v>1592</v>
      </c>
      <c r="C507" s="99" t="s">
        <v>1550</v>
      </c>
      <c r="D507" s="99" t="s">
        <v>1551</v>
      </c>
      <c r="E507" s="93">
        <v>619.29</v>
      </c>
      <c r="F507" s="94" t="s">
        <v>1543</v>
      </c>
      <c r="G507" s="95" t="s">
        <v>30</v>
      </c>
      <c r="H507" s="94">
        <v>105115268</v>
      </c>
      <c r="I507" s="101">
        <f t="shared" si="28"/>
        <v>44928.606944444444</v>
      </c>
      <c r="J507" s="102">
        <f t="shared" si="29"/>
        <v>1</v>
      </c>
      <c r="K507" s="103">
        <f t="shared" si="30"/>
        <v>2</v>
      </c>
      <c r="L507" s="83">
        <f t="shared" si="31"/>
        <v>14</v>
      </c>
    </row>
    <row r="508" spans="1:12" x14ac:dyDescent="0.25">
      <c r="A508" s="105">
        <v>44928.577777777777</v>
      </c>
      <c r="B508" s="107" t="s">
        <v>1593</v>
      </c>
      <c r="C508" s="99" t="s">
        <v>1552</v>
      </c>
      <c r="D508" s="99" t="s">
        <v>1553</v>
      </c>
      <c r="E508" s="93">
        <v>68.14</v>
      </c>
      <c r="F508" s="94" t="s">
        <v>1543</v>
      </c>
      <c r="G508" s="95" t="s">
        <v>32</v>
      </c>
      <c r="H508" s="94">
        <v>105559464</v>
      </c>
      <c r="I508" s="101">
        <f t="shared" si="28"/>
        <v>44928.577777777777</v>
      </c>
      <c r="J508" s="102">
        <f t="shared" si="29"/>
        <v>1</v>
      </c>
      <c r="K508" s="103">
        <f t="shared" si="30"/>
        <v>2</v>
      </c>
      <c r="L508" s="83">
        <f t="shared" si="31"/>
        <v>13</v>
      </c>
    </row>
    <row r="509" spans="1:12" x14ac:dyDescent="0.25">
      <c r="A509" s="105">
        <v>44928.769444444442</v>
      </c>
      <c r="B509" s="107" t="s">
        <v>1594</v>
      </c>
      <c r="C509" s="99" t="s">
        <v>1555</v>
      </c>
      <c r="D509" s="99" t="s">
        <v>1556</v>
      </c>
      <c r="E509" s="93">
        <v>56</v>
      </c>
      <c r="F509" s="94" t="s">
        <v>1543</v>
      </c>
      <c r="G509" s="95" t="s">
        <v>34</v>
      </c>
      <c r="H509" s="94">
        <v>103892530</v>
      </c>
      <c r="I509" s="101">
        <f t="shared" si="28"/>
        <v>44928.769444444442</v>
      </c>
      <c r="J509" s="102">
        <f t="shared" si="29"/>
        <v>1</v>
      </c>
      <c r="K509" s="103">
        <f t="shared" si="30"/>
        <v>2</v>
      </c>
      <c r="L509" s="83">
        <f t="shared" si="31"/>
        <v>18</v>
      </c>
    </row>
    <row r="510" spans="1:12" x14ac:dyDescent="0.25">
      <c r="A510" s="105">
        <v>44928.722916666666</v>
      </c>
      <c r="B510" s="107" t="s">
        <v>1595</v>
      </c>
      <c r="C510" s="99" t="s">
        <v>1557</v>
      </c>
      <c r="D510" s="99" t="s">
        <v>1558</v>
      </c>
      <c r="E510" s="93">
        <v>70.88</v>
      </c>
      <c r="F510" s="94" t="s">
        <v>1543</v>
      </c>
      <c r="G510" s="95" t="s">
        <v>37</v>
      </c>
      <c r="H510" s="94">
        <v>103754652</v>
      </c>
      <c r="I510" s="101">
        <f t="shared" si="28"/>
        <v>44928.722916666666</v>
      </c>
      <c r="J510" s="102">
        <f t="shared" si="29"/>
        <v>1</v>
      </c>
      <c r="K510" s="103">
        <f t="shared" si="30"/>
        <v>2</v>
      </c>
      <c r="L510" s="83">
        <f t="shared" si="31"/>
        <v>17</v>
      </c>
    </row>
    <row r="511" spans="1:12" x14ac:dyDescent="0.25">
      <c r="A511" s="105">
        <v>44928.552777777775</v>
      </c>
      <c r="B511" s="107" t="s">
        <v>1597</v>
      </c>
      <c r="C511" s="99" t="s">
        <v>1559</v>
      </c>
      <c r="D511" s="99" t="s">
        <v>1560</v>
      </c>
      <c r="E511" s="93">
        <v>163.63</v>
      </c>
      <c r="F511" s="94" t="s">
        <v>1543</v>
      </c>
      <c r="G511" s="95" t="s">
        <v>39</v>
      </c>
      <c r="H511" s="94">
        <v>104933384</v>
      </c>
      <c r="I511" s="101">
        <f t="shared" si="28"/>
        <v>44928.552777777775</v>
      </c>
      <c r="J511" s="102">
        <f t="shared" si="29"/>
        <v>1</v>
      </c>
      <c r="K511" s="103">
        <f t="shared" si="30"/>
        <v>2</v>
      </c>
      <c r="L511" s="83">
        <f t="shared" si="31"/>
        <v>13</v>
      </c>
    </row>
    <row r="512" spans="1:12" x14ac:dyDescent="0.25">
      <c r="A512" s="105">
        <v>44928.742361111108</v>
      </c>
      <c r="B512" s="107" t="s">
        <v>1547</v>
      </c>
      <c r="C512" s="99" t="s">
        <v>1562</v>
      </c>
      <c r="D512" s="99" t="s">
        <v>1563</v>
      </c>
      <c r="E512" s="93">
        <v>38.409999999999997</v>
      </c>
      <c r="F512" s="94" t="s">
        <v>1543</v>
      </c>
      <c r="G512" s="95" t="s">
        <v>41</v>
      </c>
      <c r="H512" s="94">
        <v>104037793</v>
      </c>
      <c r="I512" s="101">
        <f t="shared" si="28"/>
        <v>44928.742361111108</v>
      </c>
      <c r="J512" s="102">
        <f t="shared" si="29"/>
        <v>1</v>
      </c>
      <c r="K512" s="103">
        <f t="shared" si="30"/>
        <v>2</v>
      </c>
      <c r="L512" s="83">
        <f t="shared" si="31"/>
        <v>17</v>
      </c>
    </row>
    <row r="513" spans="1:12" x14ac:dyDescent="0.25">
      <c r="A513" s="105">
        <v>44928.647916666669</v>
      </c>
      <c r="B513" s="107" t="s">
        <v>1554</v>
      </c>
      <c r="C513" s="99" t="s">
        <v>1564</v>
      </c>
      <c r="D513" s="99" t="s">
        <v>1565</v>
      </c>
      <c r="E513" s="93">
        <v>118.34</v>
      </c>
      <c r="F513" s="94" t="s">
        <v>1543</v>
      </c>
      <c r="G513" s="95" t="s">
        <v>43</v>
      </c>
      <c r="H513" s="94">
        <v>100094851</v>
      </c>
      <c r="I513" s="101">
        <f t="shared" si="28"/>
        <v>44928.647916666669</v>
      </c>
      <c r="J513" s="102">
        <f t="shared" si="29"/>
        <v>1</v>
      </c>
      <c r="K513" s="103">
        <f t="shared" si="30"/>
        <v>2</v>
      </c>
      <c r="L513" s="83">
        <f t="shared" si="31"/>
        <v>15</v>
      </c>
    </row>
    <row r="514" spans="1:12" x14ac:dyDescent="0.25">
      <c r="A514" s="105">
        <v>44928.449305555558</v>
      </c>
      <c r="B514" s="107" t="s">
        <v>1561</v>
      </c>
      <c r="C514" s="99" t="s">
        <v>1566</v>
      </c>
      <c r="D514" s="99" t="s">
        <v>1567</v>
      </c>
      <c r="E514" s="93">
        <v>384</v>
      </c>
      <c r="F514" s="94" t="s">
        <v>1543</v>
      </c>
      <c r="G514" s="95" t="s">
        <v>45</v>
      </c>
      <c r="H514" s="94">
        <v>104756014</v>
      </c>
      <c r="I514" s="101">
        <f t="shared" si="28"/>
        <v>44928.449305555558</v>
      </c>
      <c r="J514" s="102">
        <f t="shared" si="29"/>
        <v>1</v>
      </c>
      <c r="K514" s="103">
        <f t="shared" si="30"/>
        <v>2</v>
      </c>
      <c r="L514" s="83">
        <f t="shared" si="31"/>
        <v>10</v>
      </c>
    </row>
    <row r="515" spans="1:12" x14ac:dyDescent="0.25">
      <c r="A515" s="105">
        <v>44928.423611111109</v>
      </c>
      <c r="B515" s="107" t="s">
        <v>1568</v>
      </c>
      <c r="C515" s="99" t="s">
        <v>1569</v>
      </c>
      <c r="D515" s="99" t="s">
        <v>1570</v>
      </c>
      <c r="E515" s="93">
        <v>10</v>
      </c>
      <c r="F515" s="94" t="s">
        <v>1543</v>
      </c>
      <c r="G515" s="95" t="s">
        <v>47</v>
      </c>
      <c r="H515" s="94">
        <v>103508672</v>
      </c>
      <c r="I515" s="101">
        <f t="shared" ref="I515:I578" si="32">A515</f>
        <v>44928.423611111109</v>
      </c>
      <c r="J515" s="102">
        <f t="shared" ref="J515:J578" si="33">MONTH(A515)</f>
        <v>1</v>
      </c>
      <c r="K515" s="103">
        <f t="shared" ref="K515:K578" si="34">DAY(A515)</f>
        <v>2</v>
      </c>
      <c r="L515" s="83">
        <f t="shared" ref="L515:L578" si="35">HOUR(A515)</f>
        <v>10</v>
      </c>
    </row>
    <row r="516" spans="1:12" x14ac:dyDescent="0.25">
      <c r="A516" s="105">
        <v>44928.769444444442</v>
      </c>
      <c r="B516" s="107" t="s">
        <v>1575</v>
      </c>
      <c r="C516" s="99" t="s">
        <v>1571</v>
      </c>
      <c r="D516" s="99" t="s">
        <v>1572</v>
      </c>
      <c r="E516" s="93">
        <v>18.309999999999999</v>
      </c>
      <c r="F516" s="94" t="s">
        <v>1543</v>
      </c>
      <c r="G516" s="95" t="s">
        <v>49</v>
      </c>
      <c r="H516" s="94">
        <v>105715662</v>
      </c>
      <c r="I516" s="101">
        <f t="shared" si="32"/>
        <v>44928.769444444442</v>
      </c>
      <c r="J516" s="102">
        <f t="shared" si="33"/>
        <v>1</v>
      </c>
      <c r="K516" s="103">
        <f t="shared" si="34"/>
        <v>2</v>
      </c>
      <c r="L516" s="83">
        <f t="shared" si="35"/>
        <v>18</v>
      </c>
    </row>
    <row r="517" spans="1:12" x14ac:dyDescent="0.25">
      <c r="A517" s="105">
        <v>44928.52847222222</v>
      </c>
      <c r="B517" s="107" t="s">
        <v>1582</v>
      </c>
      <c r="C517" s="99" t="s">
        <v>1573</v>
      </c>
      <c r="D517" s="99" t="s">
        <v>1574</v>
      </c>
      <c r="E517" s="93">
        <v>102</v>
      </c>
      <c r="F517" s="94" t="s">
        <v>1543</v>
      </c>
      <c r="G517" s="95" t="s">
        <v>51</v>
      </c>
      <c r="H517" s="94">
        <v>104278981</v>
      </c>
      <c r="I517" s="101">
        <f t="shared" si="32"/>
        <v>44928.52847222222</v>
      </c>
      <c r="J517" s="102">
        <f t="shared" si="33"/>
        <v>1</v>
      </c>
      <c r="K517" s="103">
        <f t="shared" si="34"/>
        <v>2</v>
      </c>
      <c r="L517" s="83">
        <f t="shared" si="35"/>
        <v>12</v>
      </c>
    </row>
    <row r="518" spans="1:12" x14ac:dyDescent="0.25">
      <c r="A518" s="105">
        <v>44928.629861111112</v>
      </c>
      <c r="B518" s="107" t="s">
        <v>1586</v>
      </c>
      <c r="C518" s="99" t="s">
        <v>1576</v>
      </c>
      <c r="D518" s="99" t="s">
        <v>1577</v>
      </c>
      <c r="E518" s="93">
        <v>135</v>
      </c>
      <c r="F518" s="94" t="s">
        <v>1543</v>
      </c>
      <c r="G518" s="95" t="s">
        <v>53</v>
      </c>
      <c r="H518" s="94">
        <v>103168315</v>
      </c>
      <c r="I518" s="101">
        <f t="shared" si="32"/>
        <v>44928.629861111112</v>
      </c>
      <c r="J518" s="102">
        <f t="shared" si="33"/>
        <v>1</v>
      </c>
      <c r="K518" s="103">
        <f t="shared" si="34"/>
        <v>2</v>
      </c>
      <c r="L518" s="83">
        <f t="shared" si="35"/>
        <v>15</v>
      </c>
    </row>
    <row r="519" spans="1:12" x14ac:dyDescent="0.25">
      <c r="A519" s="105">
        <v>44928.701388888891</v>
      </c>
      <c r="B519" s="107" t="s">
        <v>1589</v>
      </c>
      <c r="C519" s="99" t="s">
        <v>1578</v>
      </c>
      <c r="D519" s="99" t="s">
        <v>1579</v>
      </c>
      <c r="E519" s="93">
        <v>106</v>
      </c>
      <c r="F519" s="94" t="s">
        <v>1543</v>
      </c>
      <c r="G519" s="95" t="s">
        <v>55</v>
      </c>
      <c r="H519" s="94">
        <v>105272642</v>
      </c>
      <c r="I519" s="101">
        <f t="shared" si="32"/>
        <v>44928.701388888891</v>
      </c>
      <c r="J519" s="102">
        <f t="shared" si="33"/>
        <v>1</v>
      </c>
      <c r="K519" s="103">
        <f t="shared" si="34"/>
        <v>2</v>
      </c>
      <c r="L519" s="83">
        <f t="shared" si="35"/>
        <v>16</v>
      </c>
    </row>
    <row r="520" spans="1:12" x14ac:dyDescent="0.25">
      <c r="A520" s="105">
        <v>44928.538194444445</v>
      </c>
      <c r="B520" s="107" t="s">
        <v>1590</v>
      </c>
      <c r="C520" s="99" t="s">
        <v>1580</v>
      </c>
      <c r="D520" s="99" t="s">
        <v>1581</v>
      </c>
      <c r="E520" s="93">
        <v>25.41</v>
      </c>
      <c r="F520" s="94" t="s">
        <v>1544</v>
      </c>
      <c r="G520" s="95" t="s">
        <v>57</v>
      </c>
      <c r="H520" s="94">
        <v>103959628</v>
      </c>
      <c r="I520" s="101">
        <f t="shared" si="32"/>
        <v>44928.538194444445</v>
      </c>
      <c r="J520" s="102">
        <f t="shared" si="33"/>
        <v>1</v>
      </c>
      <c r="K520" s="103">
        <f t="shared" si="34"/>
        <v>2</v>
      </c>
      <c r="L520" s="83">
        <f t="shared" si="35"/>
        <v>12</v>
      </c>
    </row>
    <row r="521" spans="1:12" x14ac:dyDescent="0.25">
      <c r="A521" s="105">
        <v>44928.431944444441</v>
      </c>
      <c r="B521" s="107" t="s">
        <v>1591</v>
      </c>
      <c r="C521" s="99" t="s">
        <v>1548</v>
      </c>
      <c r="D521" s="99" t="s">
        <v>1549</v>
      </c>
      <c r="E521" s="93">
        <v>80.23</v>
      </c>
      <c r="F521" s="94" t="s">
        <v>1543</v>
      </c>
      <c r="G521" s="95" t="s">
        <v>59</v>
      </c>
      <c r="H521" s="94">
        <v>105653335</v>
      </c>
      <c r="I521" s="101">
        <f t="shared" si="32"/>
        <v>44928.431944444441</v>
      </c>
      <c r="J521" s="102">
        <f t="shared" si="33"/>
        <v>1</v>
      </c>
      <c r="K521" s="103">
        <f t="shared" si="34"/>
        <v>2</v>
      </c>
      <c r="L521" s="83">
        <f t="shared" si="35"/>
        <v>10</v>
      </c>
    </row>
    <row r="522" spans="1:12" x14ac:dyDescent="0.25">
      <c r="A522" s="105">
        <v>44928.432638888888</v>
      </c>
      <c r="B522" s="107" t="s">
        <v>1592</v>
      </c>
      <c r="C522" s="99" t="s">
        <v>1583</v>
      </c>
      <c r="D522" s="99" t="s">
        <v>1574</v>
      </c>
      <c r="E522" s="93">
        <v>154</v>
      </c>
      <c r="F522" s="94" t="s">
        <v>1543</v>
      </c>
      <c r="G522" s="95" t="s">
        <v>61</v>
      </c>
      <c r="H522" s="94">
        <v>103374330</v>
      </c>
      <c r="I522" s="101">
        <f t="shared" si="32"/>
        <v>44928.432638888888</v>
      </c>
      <c r="J522" s="102">
        <f t="shared" si="33"/>
        <v>1</v>
      </c>
      <c r="K522" s="103">
        <f t="shared" si="34"/>
        <v>2</v>
      </c>
      <c r="L522" s="83">
        <f t="shared" si="35"/>
        <v>10</v>
      </c>
    </row>
    <row r="523" spans="1:12" x14ac:dyDescent="0.25">
      <c r="A523" s="105">
        <v>44928.450694444444</v>
      </c>
      <c r="B523" s="107" t="s">
        <v>1593</v>
      </c>
      <c r="C523" s="99" t="s">
        <v>1584</v>
      </c>
      <c r="D523" s="99" t="s">
        <v>1585</v>
      </c>
      <c r="E523" s="93">
        <v>131</v>
      </c>
      <c r="F523" s="94" t="s">
        <v>1543</v>
      </c>
      <c r="G523" s="95" t="s">
        <v>63</v>
      </c>
      <c r="H523" s="94">
        <v>103848737</v>
      </c>
      <c r="I523" s="101">
        <f t="shared" si="32"/>
        <v>44928.450694444444</v>
      </c>
      <c r="J523" s="102">
        <f t="shared" si="33"/>
        <v>1</v>
      </c>
      <c r="K523" s="103">
        <f t="shared" si="34"/>
        <v>2</v>
      </c>
      <c r="L523" s="83">
        <f t="shared" si="35"/>
        <v>10</v>
      </c>
    </row>
    <row r="524" spans="1:12" x14ac:dyDescent="0.25">
      <c r="A524" s="105">
        <v>44928.524305555555</v>
      </c>
      <c r="B524" s="107" t="s">
        <v>1594</v>
      </c>
      <c r="C524" s="99" t="s">
        <v>1557</v>
      </c>
      <c r="D524" s="99" t="s">
        <v>1558</v>
      </c>
      <c r="E524" s="93">
        <v>28.65</v>
      </c>
      <c r="F524" s="94" t="s">
        <v>1543</v>
      </c>
      <c r="G524" s="95" t="s">
        <v>65</v>
      </c>
      <c r="H524" s="94">
        <v>105686968</v>
      </c>
      <c r="I524" s="101">
        <f t="shared" si="32"/>
        <v>44928.524305555555</v>
      </c>
      <c r="J524" s="102">
        <f t="shared" si="33"/>
        <v>1</v>
      </c>
      <c r="K524" s="103">
        <f t="shared" si="34"/>
        <v>2</v>
      </c>
      <c r="L524" s="83">
        <f t="shared" si="35"/>
        <v>12</v>
      </c>
    </row>
    <row r="525" spans="1:12" x14ac:dyDescent="0.25">
      <c r="A525" s="105">
        <v>44928.540972222225</v>
      </c>
      <c r="B525" s="107" t="s">
        <v>1595</v>
      </c>
      <c r="C525" s="99" t="s">
        <v>1587</v>
      </c>
      <c r="D525" s="99" t="s">
        <v>1588</v>
      </c>
      <c r="E525" s="93">
        <v>16.13</v>
      </c>
      <c r="F525" s="94" t="s">
        <v>1543</v>
      </c>
      <c r="G525" s="95" t="s">
        <v>67</v>
      </c>
      <c r="H525" s="94">
        <v>105721444</v>
      </c>
      <c r="I525" s="101">
        <f t="shared" si="32"/>
        <v>44928.540972222225</v>
      </c>
      <c r="J525" s="102">
        <f t="shared" si="33"/>
        <v>1</v>
      </c>
      <c r="K525" s="103">
        <f t="shared" si="34"/>
        <v>2</v>
      </c>
      <c r="L525" s="83">
        <f t="shared" si="35"/>
        <v>12</v>
      </c>
    </row>
    <row r="526" spans="1:12" x14ac:dyDescent="0.25">
      <c r="A526" s="105">
        <v>44928.458333333336</v>
      </c>
      <c r="B526" s="107" t="s">
        <v>1597</v>
      </c>
      <c r="C526" s="99" t="s">
        <v>1564</v>
      </c>
      <c r="D526" s="99" t="s">
        <v>1565</v>
      </c>
      <c r="E526" s="93">
        <v>43</v>
      </c>
      <c r="F526" s="94" t="s">
        <v>1543</v>
      </c>
      <c r="G526" s="95" t="s">
        <v>69</v>
      </c>
      <c r="H526" s="94">
        <v>102362985</v>
      </c>
      <c r="I526" s="101">
        <f t="shared" si="32"/>
        <v>44928.458333333336</v>
      </c>
      <c r="J526" s="102">
        <f t="shared" si="33"/>
        <v>1</v>
      </c>
      <c r="K526" s="103">
        <f t="shared" si="34"/>
        <v>2</v>
      </c>
      <c r="L526" s="83">
        <f t="shared" si="35"/>
        <v>11</v>
      </c>
    </row>
    <row r="527" spans="1:12" x14ac:dyDescent="0.25">
      <c r="A527" s="105">
        <v>44928.739583333336</v>
      </c>
      <c r="B527" s="107" t="s">
        <v>1547</v>
      </c>
      <c r="C527" s="99" t="s">
        <v>1548</v>
      </c>
      <c r="D527" s="99" t="s">
        <v>1549</v>
      </c>
      <c r="E527" s="93">
        <v>50</v>
      </c>
      <c r="F527" s="94" t="s">
        <v>1543</v>
      </c>
      <c r="G527" s="95" t="s">
        <v>71</v>
      </c>
      <c r="H527" s="94">
        <v>105365973</v>
      </c>
      <c r="I527" s="101">
        <f t="shared" si="32"/>
        <v>44928.739583333336</v>
      </c>
      <c r="J527" s="102">
        <f t="shared" si="33"/>
        <v>1</v>
      </c>
      <c r="K527" s="103">
        <f t="shared" si="34"/>
        <v>2</v>
      </c>
      <c r="L527" s="83">
        <f t="shared" si="35"/>
        <v>17</v>
      </c>
    </row>
    <row r="528" spans="1:12" x14ac:dyDescent="0.25">
      <c r="A528" s="105">
        <v>44928.697916666664</v>
      </c>
      <c r="B528" s="107" t="s">
        <v>1554</v>
      </c>
      <c r="C528" s="99" t="s">
        <v>1550</v>
      </c>
      <c r="D528" s="99" t="s">
        <v>1551</v>
      </c>
      <c r="E528" s="93">
        <v>74.709999999999994</v>
      </c>
      <c r="F528" s="94" t="s">
        <v>1543</v>
      </c>
      <c r="G528" s="95" t="s">
        <v>73</v>
      </c>
      <c r="H528" s="94">
        <v>105231545</v>
      </c>
      <c r="I528" s="101">
        <f t="shared" si="32"/>
        <v>44928.697916666664</v>
      </c>
      <c r="J528" s="102">
        <f t="shared" si="33"/>
        <v>1</v>
      </c>
      <c r="K528" s="103">
        <f t="shared" si="34"/>
        <v>2</v>
      </c>
      <c r="L528" s="83">
        <f t="shared" si="35"/>
        <v>16</v>
      </c>
    </row>
    <row r="529" spans="1:12" x14ac:dyDescent="0.25">
      <c r="A529" s="105">
        <v>44928.723611111112</v>
      </c>
      <c r="B529" s="107" t="s">
        <v>1561</v>
      </c>
      <c r="C529" s="99" t="s">
        <v>1562</v>
      </c>
      <c r="D529" s="99" t="s">
        <v>1563</v>
      </c>
      <c r="E529" s="93">
        <v>30</v>
      </c>
      <c r="F529" s="94" t="s">
        <v>1543</v>
      </c>
      <c r="G529" s="95" t="s">
        <v>75</v>
      </c>
      <c r="H529" s="94">
        <v>104128299</v>
      </c>
      <c r="I529" s="101">
        <f t="shared" si="32"/>
        <v>44928.723611111112</v>
      </c>
      <c r="J529" s="102">
        <f t="shared" si="33"/>
        <v>1</v>
      </c>
      <c r="K529" s="103">
        <f t="shared" si="34"/>
        <v>2</v>
      </c>
      <c r="L529" s="83">
        <f t="shared" si="35"/>
        <v>17</v>
      </c>
    </row>
    <row r="530" spans="1:12" x14ac:dyDescent="0.25">
      <c r="A530" s="105">
        <v>44928.468055555553</v>
      </c>
      <c r="B530" s="107" t="s">
        <v>1568</v>
      </c>
      <c r="C530" s="99" t="s">
        <v>1552</v>
      </c>
      <c r="D530" s="99" t="s">
        <v>1553</v>
      </c>
      <c r="E530" s="93">
        <v>40</v>
      </c>
      <c r="F530" s="94" t="s">
        <v>1543</v>
      </c>
      <c r="G530" s="95" t="s">
        <v>78</v>
      </c>
      <c r="H530" s="94">
        <v>103080780</v>
      </c>
      <c r="I530" s="101">
        <f t="shared" si="32"/>
        <v>44928.468055555553</v>
      </c>
      <c r="J530" s="102">
        <f t="shared" si="33"/>
        <v>1</v>
      </c>
      <c r="K530" s="103">
        <f t="shared" si="34"/>
        <v>2</v>
      </c>
      <c r="L530" s="83">
        <f t="shared" si="35"/>
        <v>11</v>
      </c>
    </row>
    <row r="531" spans="1:12" x14ac:dyDescent="0.25">
      <c r="A531" s="105">
        <v>44928.602777777778</v>
      </c>
      <c r="B531" s="107" t="s">
        <v>1575</v>
      </c>
      <c r="C531" s="99" t="s">
        <v>1555</v>
      </c>
      <c r="D531" s="99" t="s">
        <v>1556</v>
      </c>
      <c r="E531" s="93">
        <v>40.14</v>
      </c>
      <c r="F531" s="94" t="s">
        <v>1543</v>
      </c>
      <c r="G531" s="95" t="s">
        <v>80</v>
      </c>
      <c r="H531" s="94">
        <v>104346549</v>
      </c>
      <c r="I531" s="101">
        <f t="shared" si="32"/>
        <v>44928.602777777778</v>
      </c>
      <c r="J531" s="102">
        <f t="shared" si="33"/>
        <v>1</v>
      </c>
      <c r="K531" s="103">
        <f t="shared" si="34"/>
        <v>2</v>
      </c>
      <c r="L531" s="83">
        <f t="shared" si="35"/>
        <v>14</v>
      </c>
    </row>
    <row r="532" spans="1:12" x14ac:dyDescent="0.25">
      <c r="A532" s="105">
        <v>44928.512499999997</v>
      </c>
      <c r="B532" s="107" t="s">
        <v>1582</v>
      </c>
      <c r="C532" s="99" t="s">
        <v>1559</v>
      </c>
      <c r="D532" s="99" t="s">
        <v>1560</v>
      </c>
      <c r="E532" s="93">
        <v>50</v>
      </c>
      <c r="F532" s="94" t="s">
        <v>1543</v>
      </c>
      <c r="G532" s="95" t="s">
        <v>83</v>
      </c>
      <c r="H532" s="94">
        <v>103401194</v>
      </c>
      <c r="I532" s="101">
        <f t="shared" si="32"/>
        <v>44928.512499999997</v>
      </c>
      <c r="J532" s="102">
        <f t="shared" si="33"/>
        <v>1</v>
      </c>
      <c r="K532" s="103">
        <f t="shared" si="34"/>
        <v>2</v>
      </c>
      <c r="L532" s="83">
        <f t="shared" si="35"/>
        <v>12</v>
      </c>
    </row>
    <row r="533" spans="1:12" x14ac:dyDescent="0.25">
      <c r="A533" s="105">
        <v>44928.477083333331</v>
      </c>
      <c r="B533" s="107" t="s">
        <v>1586</v>
      </c>
      <c r="C533" s="99" t="s">
        <v>1548</v>
      </c>
      <c r="D533" s="99" t="s">
        <v>1549</v>
      </c>
      <c r="E533" s="93">
        <v>176.55</v>
      </c>
      <c r="F533" s="94" t="s">
        <v>1544</v>
      </c>
      <c r="G533" s="95" t="s">
        <v>85</v>
      </c>
      <c r="H533" s="94">
        <v>104542745</v>
      </c>
      <c r="I533" s="101">
        <f t="shared" si="32"/>
        <v>44928.477083333331</v>
      </c>
      <c r="J533" s="102">
        <f t="shared" si="33"/>
        <v>1</v>
      </c>
      <c r="K533" s="103">
        <f t="shared" si="34"/>
        <v>2</v>
      </c>
      <c r="L533" s="83">
        <f t="shared" si="35"/>
        <v>11</v>
      </c>
    </row>
    <row r="534" spans="1:12" x14ac:dyDescent="0.25">
      <c r="A534" s="105">
        <v>44928.586805555555</v>
      </c>
      <c r="B534" s="107" t="s">
        <v>1589</v>
      </c>
      <c r="C534" s="99" t="s">
        <v>1566</v>
      </c>
      <c r="D534" s="99" t="s">
        <v>1567</v>
      </c>
      <c r="E534" s="93">
        <v>70</v>
      </c>
      <c r="F534" s="94" t="s">
        <v>1543</v>
      </c>
      <c r="G534" s="95" t="s">
        <v>87</v>
      </c>
      <c r="H534" s="94">
        <v>102532729</v>
      </c>
      <c r="I534" s="101">
        <f t="shared" si="32"/>
        <v>44928.586805555555</v>
      </c>
      <c r="J534" s="102">
        <f t="shared" si="33"/>
        <v>1</v>
      </c>
      <c r="K534" s="103">
        <f t="shared" si="34"/>
        <v>2</v>
      </c>
      <c r="L534" s="83">
        <f t="shared" si="35"/>
        <v>14</v>
      </c>
    </row>
    <row r="535" spans="1:12" x14ac:dyDescent="0.25">
      <c r="A535" s="105">
        <v>44928.754861111112</v>
      </c>
      <c r="B535" s="107" t="s">
        <v>1590</v>
      </c>
      <c r="C535" s="99" t="s">
        <v>1564</v>
      </c>
      <c r="D535" s="99" t="s">
        <v>1565</v>
      </c>
      <c r="E535" s="93">
        <v>178</v>
      </c>
      <c r="F535" s="94" t="s">
        <v>1543</v>
      </c>
      <c r="G535" s="95" t="s">
        <v>89</v>
      </c>
      <c r="H535" s="94">
        <v>105446244</v>
      </c>
      <c r="I535" s="101">
        <f t="shared" si="32"/>
        <v>44928.754861111112</v>
      </c>
      <c r="J535" s="102">
        <f t="shared" si="33"/>
        <v>1</v>
      </c>
      <c r="K535" s="103">
        <f t="shared" si="34"/>
        <v>2</v>
      </c>
      <c r="L535" s="83">
        <f t="shared" si="35"/>
        <v>18</v>
      </c>
    </row>
    <row r="536" spans="1:12" x14ac:dyDescent="0.25">
      <c r="A536" s="105">
        <v>44928.426388888889</v>
      </c>
      <c r="B536" s="107" t="s">
        <v>1591</v>
      </c>
      <c r="C536" s="99" t="s">
        <v>1548</v>
      </c>
      <c r="D536" s="99" t="s">
        <v>1549</v>
      </c>
      <c r="E536" s="93">
        <v>173.62</v>
      </c>
      <c r="F536" s="94" t="s">
        <v>1543</v>
      </c>
      <c r="G536" s="95" t="s">
        <v>91</v>
      </c>
      <c r="H536" s="94">
        <v>103724646</v>
      </c>
      <c r="I536" s="101">
        <f t="shared" si="32"/>
        <v>44928.426388888889</v>
      </c>
      <c r="J536" s="102">
        <f t="shared" si="33"/>
        <v>1</v>
      </c>
      <c r="K536" s="103">
        <f t="shared" si="34"/>
        <v>2</v>
      </c>
      <c r="L536" s="83">
        <f t="shared" si="35"/>
        <v>10</v>
      </c>
    </row>
    <row r="537" spans="1:12" x14ac:dyDescent="0.25">
      <c r="A537" s="105">
        <v>44928.791666666664</v>
      </c>
      <c r="B537" s="107" t="s">
        <v>1592</v>
      </c>
      <c r="C537" s="99" t="s">
        <v>1550</v>
      </c>
      <c r="D537" s="99" t="s">
        <v>1551</v>
      </c>
      <c r="E537" s="93">
        <v>67.7</v>
      </c>
      <c r="F537" s="94" t="s">
        <v>1543</v>
      </c>
      <c r="G537" s="95" t="s">
        <v>93</v>
      </c>
      <c r="H537" s="94">
        <v>105661598</v>
      </c>
      <c r="I537" s="101">
        <f t="shared" si="32"/>
        <v>44928.791666666664</v>
      </c>
      <c r="J537" s="102">
        <f t="shared" si="33"/>
        <v>1</v>
      </c>
      <c r="K537" s="103">
        <f t="shared" si="34"/>
        <v>2</v>
      </c>
      <c r="L537" s="83">
        <f t="shared" si="35"/>
        <v>19</v>
      </c>
    </row>
    <row r="538" spans="1:12" x14ac:dyDescent="0.25">
      <c r="A538" s="105">
        <v>44928.493750000001</v>
      </c>
      <c r="B538" s="107" t="s">
        <v>1593</v>
      </c>
      <c r="C538" s="99" t="s">
        <v>1557</v>
      </c>
      <c r="D538" s="99" t="s">
        <v>1558</v>
      </c>
      <c r="E538" s="93">
        <v>147.41999999999999</v>
      </c>
      <c r="F538" s="94" t="s">
        <v>1543</v>
      </c>
      <c r="G538" s="95" t="s">
        <v>95</v>
      </c>
      <c r="H538" s="94">
        <v>104770846</v>
      </c>
      <c r="I538" s="101">
        <f t="shared" si="32"/>
        <v>44928.493750000001</v>
      </c>
      <c r="J538" s="102">
        <f t="shared" si="33"/>
        <v>1</v>
      </c>
      <c r="K538" s="103">
        <f t="shared" si="34"/>
        <v>2</v>
      </c>
      <c r="L538" s="83">
        <f t="shared" si="35"/>
        <v>11</v>
      </c>
    </row>
    <row r="539" spans="1:12" x14ac:dyDescent="0.25">
      <c r="A539" s="105">
        <v>44928.446527777778</v>
      </c>
      <c r="B539" s="107" t="s">
        <v>1594</v>
      </c>
      <c r="C539" s="99" t="s">
        <v>1562</v>
      </c>
      <c r="D539" s="99" t="s">
        <v>1563</v>
      </c>
      <c r="E539" s="93">
        <v>27.27</v>
      </c>
      <c r="F539" s="94" t="s">
        <v>1543</v>
      </c>
      <c r="G539" s="95" t="s">
        <v>97</v>
      </c>
      <c r="H539" s="94">
        <v>103775511</v>
      </c>
      <c r="I539" s="101">
        <f t="shared" si="32"/>
        <v>44928.446527777778</v>
      </c>
      <c r="J539" s="102">
        <f t="shared" si="33"/>
        <v>1</v>
      </c>
      <c r="K539" s="103">
        <f t="shared" si="34"/>
        <v>2</v>
      </c>
      <c r="L539" s="83">
        <f t="shared" si="35"/>
        <v>10</v>
      </c>
    </row>
    <row r="540" spans="1:12" x14ac:dyDescent="0.25">
      <c r="A540" s="105">
        <v>44928.601388888892</v>
      </c>
      <c r="B540" s="107" t="s">
        <v>1595</v>
      </c>
      <c r="C540" s="99" t="s">
        <v>1576</v>
      </c>
      <c r="D540" s="99" t="s">
        <v>1577</v>
      </c>
      <c r="E540" s="93">
        <v>323</v>
      </c>
      <c r="F540" s="94" t="s">
        <v>1544</v>
      </c>
      <c r="G540" s="95" t="s">
        <v>99</v>
      </c>
      <c r="H540" s="94">
        <v>105057101</v>
      </c>
      <c r="I540" s="101">
        <f t="shared" si="32"/>
        <v>44928.601388888892</v>
      </c>
      <c r="J540" s="102">
        <f t="shared" si="33"/>
        <v>1</v>
      </c>
      <c r="K540" s="103">
        <f t="shared" si="34"/>
        <v>2</v>
      </c>
      <c r="L540" s="83">
        <f t="shared" si="35"/>
        <v>14</v>
      </c>
    </row>
    <row r="541" spans="1:12" x14ac:dyDescent="0.25">
      <c r="A541" s="105">
        <v>44928.751388888886</v>
      </c>
      <c r="B541" s="107" t="s">
        <v>1597</v>
      </c>
      <c r="C541" s="99" t="s">
        <v>1569</v>
      </c>
      <c r="D541" s="99" t="s">
        <v>1570</v>
      </c>
      <c r="E541" s="93">
        <v>228.9</v>
      </c>
      <c r="F541" s="94" t="s">
        <v>1543</v>
      </c>
      <c r="G541" s="95" t="s">
        <v>101</v>
      </c>
      <c r="H541" s="94">
        <v>102838291</v>
      </c>
      <c r="I541" s="101">
        <f t="shared" si="32"/>
        <v>44928.751388888886</v>
      </c>
      <c r="J541" s="102">
        <f t="shared" si="33"/>
        <v>1</v>
      </c>
      <c r="K541" s="103">
        <f t="shared" si="34"/>
        <v>2</v>
      </c>
      <c r="L541" s="83">
        <f t="shared" si="35"/>
        <v>18</v>
      </c>
    </row>
    <row r="542" spans="1:12" x14ac:dyDescent="0.25">
      <c r="A542" s="105">
        <v>44928.477777777778</v>
      </c>
      <c r="B542" s="107" t="s">
        <v>1547</v>
      </c>
      <c r="C542" s="99" t="s">
        <v>1548</v>
      </c>
      <c r="D542" s="99" t="s">
        <v>1549</v>
      </c>
      <c r="E542" s="93">
        <v>93.23</v>
      </c>
      <c r="F542" s="94" t="s">
        <v>1543</v>
      </c>
      <c r="G542" s="95" t="s">
        <v>103</v>
      </c>
      <c r="H542" s="94">
        <v>105615216</v>
      </c>
      <c r="I542" s="101">
        <f t="shared" si="32"/>
        <v>44928.477777777778</v>
      </c>
      <c r="J542" s="102">
        <f t="shared" si="33"/>
        <v>1</v>
      </c>
      <c r="K542" s="103">
        <f t="shared" si="34"/>
        <v>2</v>
      </c>
      <c r="L542" s="83">
        <f t="shared" si="35"/>
        <v>11</v>
      </c>
    </row>
    <row r="543" spans="1:12" x14ac:dyDescent="0.25">
      <c r="A543" s="105">
        <v>44928.690972222219</v>
      </c>
      <c r="B543" s="107" t="s">
        <v>1554</v>
      </c>
      <c r="C543" s="99" t="s">
        <v>1559</v>
      </c>
      <c r="D543" s="99" t="s">
        <v>1560</v>
      </c>
      <c r="E543" s="93">
        <v>43.55</v>
      </c>
      <c r="F543" s="94" t="s">
        <v>1543</v>
      </c>
      <c r="G543" s="95" t="s">
        <v>105</v>
      </c>
      <c r="H543" s="94">
        <v>103498869</v>
      </c>
      <c r="I543" s="101">
        <f t="shared" si="32"/>
        <v>44928.690972222219</v>
      </c>
      <c r="J543" s="102">
        <f t="shared" si="33"/>
        <v>1</v>
      </c>
      <c r="K543" s="103">
        <f t="shared" si="34"/>
        <v>2</v>
      </c>
      <c r="L543" s="83">
        <f t="shared" si="35"/>
        <v>16</v>
      </c>
    </row>
    <row r="544" spans="1:12" x14ac:dyDescent="0.25">
      <c r="A544" s="105">
        <v>44928.629166666666</v>
      </c>
      <c r="B544" s="107" t="s">
        <v>1561</v>
      </c>
      <c r="C544" s="99" t="s">
        <v>1571</v>
      </c>
      <c r="D544" s="99" t="s">
        <v>1572</v>
      </c>
      <c r="E544" s="93">
        <v>61.96</v>
      </c>
      <c r="F544" s="94" t="s">
        <v>1543</v>
      </c>
      <c r="G544" s="95" t="s">
        <v>107</v>
      </c>
      <c r="H544" s="94">
        <v>102760124</v>
      </c>
      <c r="I544" s="101">
        <f t="shared" si="32"/>
        <v>44928.629166666666</v>
      </c>
      <c r="J544" s="102">
        <f t="shared" si="33"/>
        <v>1</v>
      </c>
      <c r="K544" s="103">
        <f t="shared" si="34"/>
        <v>2</v>
      </c>
      <c r="L544" s="83">
        <f t="shared" si="35"/>
        <v>15</v>
      </c>
    </row>
    <row r="545" spans="1:12" x14ac:dyDescent="0.25">
      <c r="A545" s="105">
        <v>44928.678472222222</v>
      </c>
      <c r="B545" s="107" t="s">
        <v>1568</v>
      </c>
      <c r="C545" s="99" t="s">
        <v>1550</v>
      </c>
      <c r="D545" s="99" t="s">
        <v>1551</v>
      </c>
      <c r="E545" s="93">
        <v>109.98</v>
      </c>
      <c r="F545" s="94" t="s">
        <v>1543</v>
      </c>
      <c r="G545" s="95" t="s">
        <v>109</v>
      </c>
      <c r="H545" s="94">
        <v>103925516</v>
      </c>
      <c r="I545" s="101">
        <f t="shared" si="32"/>
        <v>44928.678472222222</v>
      </c>
      <c r="J545" s="102">
        <f t="shared" si="33"/>
        <v>1</v>
      </c>
      <c r="K545" s="103">
        <f t="shared" si="34"/>
        <v>2</v>
      </c>
      <c r="L545" s="83">
        <f t="shared" si="35"/>
        <v>16</v>
      </c>
    </row>
    <row r="546" spans="1:12" x14ac:dyDescent="0.25">
      <c r="A546" s="105">
        <v>44928.423611111109</v>
      </c>
      <c r="B546" s="107" t="s">
        <v>1575</v>
      </c>
      <c r="C546" s="99" t="s">
        <v>1557</v>
      </c>
      <c r="D546" s="99" t="s">
        <v>1558</v>
      </c>
      <c r="E546" s="93">
        <v>162.88</v>
      </c>
      <c r="F546" s="94" t="s">
        <v>1543</v>
      </c>
      <c r="G546" s="95" t="s">
        <v>111</v>
      </c>
      <c r="H546" s="94">
        <v>105371316</v>
      </c>
      <c r="I546" s="101">
        <f t="shared" si="32"/>
        <v>44928.423611111109</v>
      </c>
      <c r="J546" s="102">
        <f t="shared" si="33"/>
        <v>1</v>
      </c>
      <c r="K546" s="103">
        <f t="shared" si="34"/>
        <v>2</v>
      </c>
      <c r="L546" s="83">
        <f t="shared" si="35"/>
        <v>10</v>
      </c>
    </row>
    <row r="547" spans="1:12" x14ac:dyDescent="0.25">
      <c r="A547" s="105">
        <v>44928.626388888886</v>
      </c>
      <c r="B547" s="107" t="s">
        <v>1582</v>
      </c>
      <c r="C547" s="99" t="s">
        <v>1555</v>
      </c>
      <c r="D547" s="99" t="s">
        <v>1556</v>
      </c>
      <c r="E547" s="93">
        <v>89.61</v>
      </c>
      <c r="F547" s="94" t="s">
        <v>1543</v>
      </c>
      <c r="G547" s="95" t="s">
        <v>113</v>
      </c>
      <c r="H547" s="94">
        <v>105340347</v>
      </c>
      <c r="I547" s="101">
        <f t="shared" si="32"/>
        <v>44928.626388888886</v>
      </c>
      <c r="J547" s="102">
        <f t="shared" si="33"/>
        <v>1</v>
      </c>
      <c r="K547" s="103">
        <f t="shared" si="34"/>
        <v>2</v>
      </c>
      <c r="L547" s="83">
        <f t="shared" si="35"/>
        <v>15</v>
      </c>
    </row>
    <row r="548" spans="1:12" x14ac:dyDescent="0.25">
      <c r="A548" s="105">
        <v>44928.454861111109</v>
      </c>
      <c r="B548" s="107" t="s">
        <v>1586</v>
      </c>
      <c r="C548" s="99" t="s">
        <v>1548</v>
      </c>
      <c r="D548" s="99" t="s">
        <v>1549</v>
      </c>
      <c r="E548" s="93">
        <v>118</v>
      </c>
      <c r="F548" s="94" t="s">
        <v>1543</v>
      </c>
      <c r="G548" s="95" t="s">
        <v>115</v>
      </c>
      <c r="H548" s="94">
        <v>105129199</v>
      </c>
      <c r="I548" s="101">
        <f t="shared" si="32"/>
        <v>44928.454861111109</v>
      </c>
      <c r="J548" s="102">
        <f t="shared" si="33"/>
        <v>1</v>
      </c>
      <c r="K548" s="103">
        <f t="shared" si="34"/>
        <v>2</v>
      </c>
      <c r="L548" s="83">
        <f t="shared" si="35"/>
        <v>10</v>
      </c>
    </row>
    <row r="549" spans="1:12" x14ac:dyDescent="0.25">
      <c r="A549" s="105">
        <v>44928.504861111112</v>
      </c>
      <c r="B549" s="107" t="s">
        <v>1589</v>
      </c>
      <c r="C549" s="99" t="s">
        <v>1550</v>
      </c>
      <c r="D549" s="99" t="s">
        <v>1551</v>
      </c>
      <c r="E549" s="93">
        <v>262.04000000000002</v>
      </c>
      <c r="F549" s="94" t="s">
        <v>1543</v>
      </c>
      <c r="G549" s="95" t="s">
        <v>117</v>
      </c>
      <c r="H549" s="94">
        <v>105246958</v>
      </c>
      <c r="I549" s="101">
        <f t="shared" si="32"/>
        <v>44928.504861111112</v>
      </c>
      <c r="J549" s="102">
        <f t="shared" si="33"/>
        <v>1</v>
      </c>
      <c r="K549" s="103">
        <f t="shared" si="34"/>
        <v>2</v>
      </c>
      <c r="L549" s="83">
        <f t="shared" si="35"/>
        <v>12</v>
      </c>
    </row>
    <row r="550" spans="1:12" x14ac:dyDescent="0.25">
      <c r="A550" s="105">
        <v>44928.522916666669</v>
      </c>
      <c r="B550" s="107" t="s">
        <v>1590</v>
      </c>
      <c r="C550" s="99" t="s">
        <v>1552</v>
      </c>
      <c r="D550" s="99" t="s">
        <v>1553</v>
      </c>
      <c r="E550" s="93">
        <v>124</v>
      </c>
      <c r="F550" s="94" t="s">
        <v>1543</v>
      </c>
      <c r="G550" s="95" t="s">
        <v>120</v>
      </c>
      <c r="H550" s="94">
        <v>102829922</v>
      </c>
      <c r="I550" s="101">
        <f t="shared" si="32"/>
        <v>44928.522916666669</v>
      </c>
      <c r="J550" s="102">
        <f t="shared" si="33"/>
        <v>1</v>
      </c>
      <c r="K550" s="103">
        <f t="shared" si="34"/>
        <v>2</v>
      </c>
      <c r="L550" s="83">
        <f t="shared" si="35"/>
        <v>12</v>
      </c>
    </row>
    <row r="551" spans="1:12" x14ac:dyDescent="0.25">
      <c r="A551" s="105">
        <v>44928.534722222219</v>
      </c>
      <c r="B551" s="107" t="s">
        <v>1591</v>
      </c>
      <c r="C551" s="99" t="s">
        <v>1555</v>
      </c>
      <c r="D551" s="99" t="s">
        <v>1556</v>
      </c>
      <c r="E551" s="93">
        <v>164.63</v>
      </c>
      <c r="F551" s="94" t="s">
        <v>1544</v>
      </c>
      <c r="G551" s="95" t="s">
        <v>122</v>
      </c>
      <c r="H551" s="94">
        <v>104038492</v>
      </c>
      <c r="I551" s="101">
        <f t="shared" si="32"/>
        <v>44928.534722222219</v>
      </c>
      <c r="J551" s="102">
        <f t="shared" si="33"/>
        <v>1</v>
      </c>
      <c r="K551" s="103">
        <f t="shared" si="34"/>
        <v>2</v>
      </c>
      <c r="L551" s="83">
        <f t="shared" si="35"/>
        <v>12</v>
      </c>
    </row>
    <row r="552" spans="1:12" x14ac:dyDescent="0.25">
      <c r="A552" s="105">
        <v>44928.559027777781</v>
      </c>
      <c r="B552" s="107" t="s">
        <v>1592</v>
      </c>
      <c r="C552" s="99" t="s">
        <v>1557</v>
      </c>
      <c r="D552" s="99" t="s">
        <v>1558</v>
      </c>
      <c r="E552" s="93">
        <v>33.450000000000003</v>
      </c>
      <c r="F552" s="94" t="s">
        <v>1543</v>
      </c>
      <c r="G552" s="95" t="s">
        <v>124</v>
      </c>
      <c r="H552" s="94">
        <v>104684986</v>
      </c>
      <c r="I552" s="101">
        <f t="shared" si="32"/>
        <v>44928.559027777781</v>
      </c>
      <c r="J552" s="102">
        <f t="shared" si="33"/>
        <v>1</v>
      </c>
      <c r="K552" s="103">
        <f t="shared" si="34"/>
        <v>2</v>
      </c>
      <c r="L552" s="83">
        <f t="shared" si="35"/>
        <v>13</v>
      </c>
    </row>
    <row r="553" spans="1:12" x14ac:dyDescent="0.25">
      <c r="A553" s="105">
        <v>44928.6875</v>
      </c>
      <c r="B553" s="107" t="s">
        <v>1593</v>
      </c>
      <c r="C553" s="99" t="s">
        <v>1559</v>
      </c>
      <c r="D553" s="99" t="s">
        <v>1560</v>
      </c>
      <c r="E553" s="93">
        <v>111.69</v>
      </c>
      <c r="F553" s="94" t="s">
        <v>1544</v>
      </c>
      <c r="G553" s="95" t="s">
        <v>126</v>
      </c>
      <c r="H553" s="94">
        <v>105094065</v>
      </c>
      <c r="I553" s="101">
        <f t="shared" si="32"/>
        <v>44928.6875</v>
      </c>
      <c r="J553" s="102">
        <f t="shared" si="33"/>
        <v>1</v>
      </c>
      <c r="K553" s="103">
        <f t="shared" si="34"/>
        <v>2</v>
      </c>
      <c r="L553" s="83">
        <f t="shared" si="35"/>
        <v>16</v>
      </c>
    </row>
    <row r="554" spans="1:12" x14ac:dyDescent="0.25">
      <c r="A554" s="105">
        <v>44928.779861111114</v>
      </c>
      <c r="B554" s="107" t="s">
        <v>1594</v>
      </c>
      <c r="C554" s="99" t="s">
        <v>1562</v>
      </c>
      <c r="D554" s="99" t="s">
        <v>1563</v>
      </c>
      <c r="E554" s="93">
        <v>16.13</v>
      </c>
      <c r="F554" s="94" t="s">
        <v>1543</v>
      </c>
      <c r="G554" s="95" t="s">
        <v>128</v>
      </c>
      <c r="H554" s="94">
        <v>105699908</v>
      </c>
      <c r="I554" s="101">
        <f t="shared" si="32"/>
        <v>44928.779861111114</v>
      </c>
      <c r="J554" s="102">
        <f t="shared" si="33"/>
        <v>1</v>
      </c>
      <c r="K554" s="103">
        <f t="shared" si="34"/>
        <v>2</v>
      </c>
      <c r="L554" s="83">
        <f t="shared" si="35"/>
        <v>18</v>
      </c>
    </row>
    <row r="555" spans="1:12" x14ac:dyDescent="0.25">
      <c r="A555" s="105">
        <v>44928.431944444441</v>
      </c>
      <c r="B555" s="107" t="s">
        <v>1595</v>
      </c>
      <c r="C555" s="99" t="s">
        <v>1564</v>
      </c>
      <c r="D555" s="99" t="s">
        <v>1565</v>
      </c>
      <c r="E555" s="93">
        <v>31</v>
      </c>
      <c r="F555" s="94" t="s">
        <v>1543</v>
      </c>
      <c r="G555" s="95" t="s">
        <v>130</v>
      </c>
      <c r="H555" s="94">
        <v>104815944</v>
      </c>
      <c r="I555" s="101">
        <f t="shared" si="32"/>
        <v>44928.431944444441</v>
      </c>
      <c r="J555" s="102">
        <f t="shared" si="33"/>
        <v>1</v>
      </c>
      <c r="K555" s="103">
        <f t="shared" si="34"/>
        <v>2</v>
      </c>
      <c r="L555" s="83">
        <f t="shared" si="35"/>
        <v>10</v>
      </c>
    </row>
    <row r="556" spans="1:12" x14ac:dyDescent="0.25">
      <c r="A556" s="105">
        <v>44928.539583333331</v>
      </c>
      <c r="B556" s="107" t="s">
        <v>1597</v>
      </c>
      <c r="C556" s="99" t="s">
        <v>1566</v>
      </c>
      <c r="D556" s="99" t="s">
        <v>1567</v>
      </c>
      <c r="E556" s="93">
        <v>10</v>
      </c>
      <c r="F556" s="94" t="s">
        <v>1544</v>
      </c>
      <c r="G556" s="95" t="s">
        <v>132</v>
      </c>
      <c r="H556" s="94">
        <v>103959628</v>
      </c>
      <c r="I556" s="101">
        <f t="shared" si="32"/>
        <v>44928.539583333331</v>
      </c>
      <c r="J556" s="102">
        <f t="shared" si="33"/>
        <v>1</v>
      </c>
      <c r="K556" s="103">
        <f t="shared" si="34"/>
        <v>2</v>
      </c>
      <c r="L556" s="83">
        <f t="shared" si="35"/>
        <v>12</v>
      </c>
    </row>
    <row r="557" spans="1:12" x14ac:dyDescent="0.25">
      <c r="A557" s="105">
        <v>44928.576388888891</v>
      </c>
      <c r="B557" s="107" t="s">
        <v>1547</v>
      </c>
      <c r="C557" s="99" t="s">
        <v>1569</v>
      </c>
      <c r="D557" s="99" t="s">
        <v>1570</v>
      </c>
      <c r="E557" s="93">
        <v>38.01</v>
      </c>
      <c r="F557" s="94" t="s">
        <v>1544</v>
      </c>
      <c r="G557" s="95" t="s">
        <v>134</v>
      </c>
      <c r="H557" s="94">
        <v>105579688</v>
      </c>
      <c r="I557" s="101">
        <f t="shared" si="32"/>
        <v>44928.576388888891</v>
      </c>
      <c r="J557" s="102">
        <f t="shared" si="33"/>
        <v>1</v>
      </c>
      <c r="K557" s="103">
        <f t="shared" si="34"/>
        <v>2</v>
      </c>
      <c r="L557" s="83">
        <f t="shared" si="35"/>
        <v>13</v>
      </c>
    </row>
    <row r="558" spans="1:12" x14ac:dyDescent="0.25">
      <c r="A558" s="105">
        <v>44928.577777777777</v>
      </c>
      <c r="B558" s="107" t="s">
        <v>1554</v>
      </c>
      <c r="C558" s="99" t="s">
        <v>1571</v>
      </c>
      <c r="D558" s="99" t="s">
        <v>1572</v>
      </c>
      <c r="E558" s="93">
        <v>141.06</v>
      </c>
      <c r="F558" s="94" t="s">
        <v>1543</v>
      </c>
      <c r="G558" s="95" t="s">
        <v>136</v>
      </c>
      <c r="H558" s="94">
        <v>105498447</v>
      </c>
      <c r="I558" s="101">
        <f t="shared" si="32"/>
        <v>44928.577777777777</v>
      </c>
      <c r="J558" s="102">
        <f t="shared" si="33"/>
        <v>1</v>
      </c>
      <c r="K558" s="103">
        <f t="shared" si="34"/>
        <v>2</v>
      </c>
      <c r="L558" s="83">
        <f t="shared" si="35"/>
        <v>13</v>
      </c>
    </row>
    <row r="559" spans="1:12" x14ac:dyDescent="0.25">
      <c r="A559" s="105">
        <v>44928.686111111114</v>
      </c>
      <c r="B559" s="107" t="s">
        <v>1561</v>
      </c>
      <c r="C559" s="99" t="s">
        <v>1573</v>
      </c>
      <c r="D559" s="99" t="s">
        <v>1574</v>
      </c>
      <c r="E559" s="93">
        <v>290</v>
      </c>
      <c r="F559" s="94" t="s">
        <v>1543</v>
      </c>
      <c r="G559" s="95" t="s">
        <v>138</v>
      </c>
      <c r="H559" s="94">
        <v>104805070</v>
      </c>
      <c r="I559" s="101">
        <f t="shared" si="32"/>
        <v>44928.686111111114</v>
      </c>
      <c r="J559" s="102">
        <f t="shared" si="33"/>
        <v>1</v>
      </c>
      <c r="K559" s="103">
        <f t="shared" si="34"/>
        <v>2</v>
      </c>
      <c r="L559" s="83">
        <f t="shared" si="35"/>
        <v>16</v>
      </c>
    </row>
    <row r="560" spans="1:12" x14ac:dyDescent="0.25">
      <c r="A560" s="105">
        <v>44928.72152777778</v>
      </c>
      <c r="B560" s="107" t="s">
        <v>1568</v>
      </c>
      <c r="C560" s="99" t="s">
        <v>1576</v>
      </c>
      <c r="D560" s="99" t="s">
        <v>1577</v>
      </c>
      <c r="E560" s="93">
        <v>236</v>
      </c>
      <c r="F560" s="94" t="s">
        <v>1543</v>
      </c>
      <c r="G560" s="95" t="s">
        <v>140</v>
      </c>
      <c r="H560" s="94">
        <v>105266503</v>
      </c>
      <c r="I560" s="101">
        <f t="shared" si="32"/>
        <v>44928.72152777778</v>
      </c>
      <c r="J560" s="102">
        <f t="shared" si="33"/>
        <v>1</v>
      </c>
      <c r="K560" s="103">
        <f t="shared" si="34"/>
        <v>2</v>
      </c>
      <c r="L560" s="83">
        <f t="shared" si="35"/>
        <v>17</v>
      </c>
    </row>
    <row r="561" spans="1:12" x14ac:dyDescent="0.25">
      <c r="A561" s="105">
        <v>44928.481249999997</v>
      </c>
      <c r="B561" s="107" t="s">
        <v>1575</v>
      </c>
      <c r="C561" s="99" t="s">
        <v>1578</v>
      </c>
      <c r="D561" s="99" t="s">
        <v>1579</v>
      </c>
      <c r="E561" s="93">
        <v>100</v>
      </c>
      <c r="F561" s="94" t="s">
        <v>1544</v>
      </c>
      <c r="G561" s="95" t="s">
        <v>142</v>
      </c>
      <c r="H561" s="94">
        <v>105057101</v>
      </c>
      <c r="I561" s="101">
        <f t="shared" si="32"/>
        <v>44928.481249999997</v>
      </c>
      <c r="J561" s="102">
        <f t="shared" si="33"/>
        <v>1</v>
      </c>
      <c r="K561" s="103">
        <f t="shared" si="34"/>
        <v>2</v>
      </c>
      <c r="L561" s="83">
        <f t="shared" si="35"/>
        <v>11</v>
      </c>
    </row>
    <row r="562" spans="1:12" x14ac:dyDescent="0.25">
      <c r="A562" s="105">
        <v>44928.731944444444</v>
      </c>
      <c r="B562" s="107" t="s">
        <v>1582</v>
      </c>
      <c r="C562" s="99" t="s">
        <v>1580</v>
      </c>
      <c r="D562" s="99" t="s">
        <v>1581</v>
      </c>
      <c r="E562" s="93">
        <v>110</v>
      </c>
      <c r="F562" s="94" t="s">
        <v>1544</v>
      </c>
      <c r="G562" s="95" t="s">
        <v>146</v>
      </c>
      <c r="H562" s="94">
        <v>105048052</v>
      </c>
      <c r="I562" s="101">
        <f t="shared" si="32"/>
        <v>44928.731944444444</v>
      </c>
      <c r="J562" s="102">
        <f t="shared" si="33"/>
        <v>1</v>
      </c>
      <c r="K562" s="103">
        <f t="shared" si="34"/>
        <v>2</v>
      </c>
      <c r="L562" s="83">
        <f t="shared" si="35"/>
        <v>17</v>
      </c>
    </row>
    <row r="563" spans="1:12" x14ac:dyDescent="0.25">
      <c r="A563" s="105">
        <v>44928.612500000003</v>
      </c>
      <c r="B563" s="107" t="s">
        <v>1586</v>
      </c>
      <c r="C563" s="99" t="s">
        <v>1548</v>
      </c>
      <c r="D563" s="99" t="s">
        <v>1549</v>
      </c>
      <c r="E563" s="93">
        <v>30</v>
      </c>
      <c r="F563" s="94" t="s">
        <v>1543</v>
      </c>
      <c r="G563" s="95" t="s">
        <v>148</v>
      </c>
      <c r="H563" s="94">
        <v>105201525</v>
      </c>
      <c r="I563" s="101">
        <f t="shared" si="32"/>
        <v>44928.612500000003</v>
      </c>
      <c r="J563" s="102">
        <f t="shared" si="33"/>
        <v>1</v>
      </c>
      <c r="K563" s="103">
        <f t="shared" si="34"/>
        <v>2</v>
      </c>
      <c r="L563" s="83">
        <f t="shared" si="35"/>
        <v>14</v>
      </c>
    </row>
    <row r="564" spans="1:12" x14ac:dyDescent="0.25">
      <c r="A564" s="105">
        <v>44928.609722222223</v>
      </c>
      <c r="B564" s="107" t="s">
        <v>1589</v>
      </c>
      <c r="C564" s="99" t="s">
        <v>1583</v>
      </c>
      <c r="D564" s="99" t="s">
        <v>1574</v>
      </c>
      <c r="E564" s="93">
        <v>195</v>
      </c>
      <c r="F564" s="94" t="s">
        <v>1543</v>
      </c>
      <c r="G564" s="95" t="s">
        <v>150</v>
      </c>
      <c r="H564" s="94">
        <v>101141573</v>
      </c>
      <c r="I564" s="101">
        <f t="shared" si="32"/>
        <v>44928.609722222223</v>
      </c>
      <c r="J564" s="102">
        <f t="shared" si="33"/>
        <v>1</v>
      </c>
      <c r="K564" s="103">
        <f t="shared" si="34"/>
        <v>2</v>
      </c>
      <c r="L564" s="83">
        <f t="shared" si="35"/>
        <v>14</v>
      </c>
    </row>
    <row r="565" spans="1:12" x14ac:dyDescent="0.25">
      <c r="A565" s="105">
        <v>44928.561111111114</v>
      </c>
      <c r="B565" s="107" t="s">
        <v>1590</v>
      </c>
      <c r="C565" s="99" t="s">
        <v>1584</v>
      </c>
      <c r="D565" s="99" t="s">
        <v>1585</v>
      </c>
      <c r="E565" s="93">
        <v>100</v>
      </c>
      <c r="F565" s="94" t="s">
        <v>1543</v>
      </c>
      <c r="G565" s="95" t="s">
        <v>152</v>
      </c>
      <c r="H565" s="94">
        <v>105122838</v>
      </c>
      <c r="I565" s="101">
        <f t="shared" si="32"/>
        <v>44928.561111111114</v>
      </c>
      <c r="J565" s="102">
        <f t="shared" si="33"/>
        <v>1</v>
      </c>
      <c r="K565" s="103">
        <f t="shared" si="34"/>
        <v>2</v>
      </c>
      <c r="L565" s="83">
        <f t="shared" si="35"/>
        <v>13</v>
      </c>
    </row>
    <row r="566" spans="1:12" x14ac:dyDescent="0.25">
      <c r="A566" s="105">
        <v>44928.699305555558</v>
      </c>
      <c r="B566" s="107" t="s">
        <v>1591</v>
      </c>
      <c r="C566" s="99" t="s">
        <v>1557</v>
      </c>
      <c r="D566" s="99" t="s">
        <v>1558</v>
      </c>
      <c r="E566" s="93">
        <v>140</v>
      </c>
      <c r="F566" s="94" t="s">
        <v>1544</v>
      </c>
      <c r="G566" s="95" t="s">
        <v>154</v>
      </c>
      <c r="H566" s="94">
        <v>103078773</v>
      </c>
      <c r="I566" s="101">
        <f t="shared" si="32"/>
        <v>44928.699305555558</v>
      </c>
      <c r="J566" s="102">
        <f t="shared" si="33"/>
        <v>1</v>
      </c>
      <c r="K566" s="103">
        <f t="shared" si="34"/>
        <v>2</v>
      </c>
      <c r="L566" s="83">
        <f t="shared" si="35"/>
        <v>16</v>
      </c>
    </row>
    <row r="567" spans="1:12" x14ac:dyDescent="0.25">
      <c r="A567" s="105">
        <v>44928.48541666667</v>
      </c>
      <c r="B567" s="107" t="s">
        <v>1592</v>
      </c>
      <c r="C567" s="99" t="s">
        <v>1587</v>
      </c>
      <c r="D567" s="99" t="s">
        <v>1588</v>
      </c>
      <c r="E567" s="93">
        <v>44</v>
      </c>
      <c r="F567" s="94" t="s">
        <v>1543</v>
      </c>
      <c r="G567" s="95" t="s">
        <v>156</v>
      </c>
      <c r="H567" s="94">
        <v>105556693</v>
      </c>
      <c r="I567" s="101">
        <f t="shared" si="32"/>
        <v>44928.48541666667</v>
      </c>
      <c r="J567" s="102">
        <f t="shared" si="33"/>
        <v>1</v>
      </c>
      <c r="K567" s="103">
        <f t="shared" si="34"/>
        <v>2</v>
      </c>
      <c r="L567" s="83">
        <f t="shared" si="35"/>
        <v>11</v>
      </c>
    </row>
    <row r="568" spans="1:12" x14ac:dyDescent="0.25">
      <c r="A568" s="105">
        <v>44928.428472222222</v>
      </c>
      <c r="B568" s="107" t="s">
        <v>1593</v>
      </c>
      <c r="C568" s="99" t="s">
        <v>1564</v>
      </c>
      <c r="D568" s="99" t="s">
        <v>1565</v>
      </c>
      <c r="E568" s="93">
        <v>54.42</v>
      </c>
      <c r="F568" s="94" t="s">
        <v>1543</v>
      </c>
      <c r="G568" s="95" t="s">
        <v>159</v>
      </c>
      <c r="H568" s="94">
        <v>104814895</v>
      </c>
      <c r="I568" s="101">
        <f t="shared" si="32"/>
        <v>44928.428472222222</v>
      </c>
      <c r="J568" s="102">
        <f t="shared" si="33"/>
        <v>1</v>
      </c>
      <c r="K568" s="103">
        <f t="shared" si="34"/>
        <v>2</v>
      </c>
      <c r="L568" s="83">
        <f t="shared" si="35"/>
        <v>10</v>
      </c>
    </row>
    <row r="569" spans="1:12" x14ac:dyDescent="0.25">
      <c r="A569" s="105">
        <v>44928.464583333334</v>
      </c>
      <c r="B569" s="107" t="s">
        <v>1594</v>
      </c>
      <c r="C569" s="99" t="s">
        <v>1548</v>
      </c>
      <c r="D569" s="99" t="s">
        <v>1549</v>
      </c>
      <c r="E569" s="93">
        <v>200</v>
      </c>
      <c r="F569" s="94" t="s">
        <v>1545</v>
      </c>
      <c r="G569" s="95" t="s">
        <v>161</v>
      </c>
      <c r="H569" s="94">
        <v>105214611</v>
      </c>
      <c r="I569" s="101">
        <f t="shared" si="32"/>
        <v>44928.464583333334</v>
      </c>
      <c r="J569" s="102">
        <f t="shared" si="33"/>
        <v>1</v>
      </c>
      <c r="K569" s="103">
        <f t="shared" si="34"/>
        <v>2</v>
      </c>
      <c r="L569" s="83">
        <f t="shared" si="35"/>
        <v>11</v>
      </c>
    </row>
    <row r="570" spans="1:12" x14ac:dyDescent="0.25">
      <c r="A570" s="105">
        <v>45034.648611111108</v>
      </c>
      <c r="B570" s="107" t="s">
        <v>1595</v>
      </c>
      <c r="C570" s="99" t="s">
        <v>1550</v>
      </c>
      <c r="D570" s="99" t="s">
        <v>1551</v>
      </c>
      <c r="E570" s="93">
        <v>247</v>
      </c>
      <c r="F570" s="94" t="s">
        <v>1544</v>
      </c>
      <c r="G570" s="95" t="s">
        <v>163</v>
      </c>
      <c r="H570" s="94">
        <v>104433964</v>
      </c>
      <c r="I570" s="101">
        <f t="shared" si="32"/>
        <v>45034.648611111108</v>
      </c>
      <c r="J570" s="102">
        <f t="shared" si="33"/>
        <v>4</v>
      </c>
      <c r="K570" s="103">
        <f t="shared" si="34"/>
        <v>18</v>
      </c>
      <c r="L570" s="83">
        <f t="shared" si="35"/>
        <v>15</v>
      </c>
    </row>
    <row r="571" spans="1:12" x14ac:dyDescent="0.25">
      <c r="A571" s="105">
        <v>45034.544444444444</v>
      </c>
      <c r="B571" s="107" t="s">
        <v>1597</v>
      </c>
      <c r="C571" s="99" t="s">
        <v>1562</v>
      </c>
      <c r="D571" s="99" t="s">
        <v>1563</v>
      </c>
      <c r="E571" s="93">
        <v>35.86</v>
      </c>
      <c r="F571" s="94" t="s">
        <v>1543</v>
      </c>
      <c r="G571" s="95" t="s">
        <v>165</v>
      </c>
      <c r="H571" s="94">
        <v>104280400</v>
      </c>
      <c r="I571" s="101">
        <f t="shared" si="32"/>
        <v>45034.544444444444</v>
      </c>
      <c r="J571" s="102">
        <f t="shared" si="33"/>
        <v>4</v>
      </c>
      <c r="K571" s="103">
        <f t="shared" si="34"/>
        <v>18</v>
      </c>
      <c r="L571" s="83">
        <f t="shared" si="35"/>
        <v>13</v>
      </c>
    </row>
    <row r="572" spans="1:12" x14ac:dyDescent="0.25">
      <c r="A572" s="105">
        <v>45034.495138888888</v>
      </c>
      <c r="B572" s="107" t="s">
        <v>1547</v>
      </c>
      <c r="C572" s="99" t="s">
        <v>1552</v>
      </c>
      <c r="D572" s="99" t="s">
        <v>1553</v>
      </c>
      <c r="E572" s="93">
        <v>120.63</v>
      </c>
      <c r="F572" s="94" t="s">
        <v>1544</v>
      </c>
      <c r="G572" s="95" t="s">
        <v>167</v>
      </c>
      <c r="H572" s="94">
        <v>105082401</v>
      </c>
      <c r="I572" s="101">
        <f t="shared" si="32"/>
        <v>45034.495138888888</v>
      </c>
      <c r="J572" s="102">
        <f t="shared" si="33"/>
        <v>4</v>
      </c>
      <c r="K572" s="103">
        <f t="shared" si="34"/>
        <v>18</v>
      </c>
      <c r="L572" s="83">
        <f t="shared" si="35"/>
        <v>11</v>
      </c>
    </row>
    <row r="573" spans="1:12" x14ac:dyDescent="0.25">
      <c r="A573" s="105">
        <v>45034.620833333334</v>
      </c>
      <c r="B573" s="107" t="s">
        <v>1554</v>
      </c>
      <c r="C573" s="99" t="s">
        <v>1555</v>
      </c>
      <c r="D573" s="99" t="s">
        <v>1556</v>
      </c>
      <c r="E573" s="93">
        <v>50</v>
      </c>
      <c r="F573" s="94" t="s">
        <v>1543</v>
      </c>
      <c r="G573" s="95" t="s">
        <v>169</v>
      </c>
      <c r="H573" s="94">
        <v>103334373</v>
      </c>
      <c r="I573" s="101">
        <f t="shared" si="32"/>
        <v>45034.620833333334</v>
      </c>
      <c r="J573" s="102">
        <f t="shared" si="33"/>
        <v>4</v>
      </c>
      <c r="K573" s="103">
        <f t="shared" si="34"/>
        <v>18</v>
      </c>
      <c r="L573" s="83">
        <f t="shared" si="35"/>
        <v>14</v>
      </c>
    </row>
    <row r="574" spans="1:12" x14ac:dyDescent="0.25">
      <c r="A574" s="105">
        <v>45034.686805555553</v>
      </c>
      <c r="B574" s="107" t="s">
        <v>1561</v>
      </c>
      <c r="C574" s="99" t="s">
        <v>1559</v>
      </c>
      <c r="D574" s="99" t="s">
        <v>1560</v>
      </c>
      <c r="E574" s="93">
        <v>100</v>
      </c>
      <c r="F574" s="94" t="s">
        <v>1543</v>
      </c>
      <c r="G574" s="95" t="s">
        <v>171</v>
      </c>
      <c r="H574" s="94">
        <v>105325489</v>
      </c>
      <c r="I574" s="101">
        <f t="shared" si="32"/>
        <v>45034.686805555553</v>
      </c>
      <c r="J574" s="102">
        <f t="shared" si="33"/>
        <v>4</v>
      </c>
      <c r="K574" s="103">
        <f t="shared" si="34"/>
        <v>18</v>
      </c>
      <c r="L574" s="83">
        <f t="shared" si="35"/>
        <v>16</v>
      </c>
    </row>
    <row r="575" spans="1:12" x14ac:dyDescent="0.25">
      <c r="A575" s="105">
        <v>45034.652777777781</v>
      </c>
      <c r="B575" s="107" t="s">
        <v>1568</v>
      </c>
      <c r="C575" s="99" t="s">
        <v>1548</v>
      </c>
      <c r="D575" s="99" t="s">
        <v>1549</v>
      </c>
      <c r="E575" s="93">
        <v>37.53</v>
      </c>
      <c r="F575" s="94" t="s">
        <v>1543</v>
      </c>
      <c r="G575" s="95" t="s">
        <v>173</v>
      </c>
      <c r="H575" s="94">
        <v>100528587</v>
      </c>
      <c r="I575" s="101">
        <f t="shared" si="32"/>
        <v>45034.652777777781</v>
      </c>
      <c r="J575" s="102">
        <f t="shared" si="33"/>
        <v>4</v>
      </c>
      <c r="K575" s="103">
        <f t="shared" si="34"/>
        <v>18</v>
      </c>
      <c r="L575" s="83">
        <f t="shared" si="35"/>
        <v>15</v>
      </c>
    </row>
    <row r="576" spans="1:12" x14ac:dyDescent="0.25">
      <c r="A576" s="105">
        <v>45034.700694444444</v>
      </c>
      <c r="B576" s="107" t="s">
        <v>1575</v>
      </c>
      <c r="C576" s="99" t="s">
        <v>1566</v>
      </c>
      <c r="D576" s="99" t="s">
        <v>1567</v>
      </c>
      <c r="E576" s="93">
        <v>40</v>
      </c>
      <c r="F576" s="94" t="s">
        <v>1543</v>
      </c>
      <c r="G576" s="95" t="s">
        <v>175</v>
      </c>
      <c r="H576" s="94">
        <v>103078773</v>
      </c>
      <c r="I576" s="101">
        <f t="shared" si="32"/>
        <v>45034.700694444444</v>
      </c>
      <c r="J576" s="102">
        <f t="shared" si="33"/>
        <v>4</v>
      </c>
      <c r="K576" s="103">
        <f t="shared" si="34"/>
        <v>18</v>
      </c>
      <c r="L576" s="83">
        <f t="shared" si="35"/>
        <v>16</v>
      </c>
    </row>
    <row r="577" spans="1:12" x14ac:dyDescent="0.25">
      <c r="A577" s="105">
        <v>45034.643055555556</v>
      </c>
      <c r="B577" s="107" t="s">
        <v>1582</v>
      </c>
      <c r="C577" s="99" t="s">
        <v>1564</v>
      </c>
      <c r="D577" s="99" t="s">
        <v>1565</v>
      </c>
      <c r="E577" s="93">
        <v>24</v>
      </c>
      <c r="F577" s="94" t="s">
        <v>1543</v>
      </c>
      <c r="G577" s="95" t="s">
        <v>177</v>
      </c>
      <c r="H577" s="94">
        <v>105516522</v>
      </c>
      <c r="I577" s="101">
        <f t="shared" si="32"/>
        <v>45034.643055555556</v>
      </c>
      <c r="J577" s="102">
        <f t="shared" si="33"/>
        <v>4</v>
      </c>
      <c r="K577" s="103">
        <f t="shared" si="34"/>
        <v>18</v>
      </c>
      <c r="L577" s="83">
        <f t="shared" si="35"/>
        <v>15</v>
      </c>
    </row>
    <row r="578" spans="1:12" x14ac:dyDescent="0.25">
      <c r="A578" s="105">
        <v>45034.638194444444</v>
      </c>
      <c r="B578" s="107" t="s">
        <v>1586</v>
      </c>
      <c r="C578" s="99" t="s">
        <v>1548</v>
      </c>
      <c r="D578" s="99" t="s">
        <v>1549</v>
      </c>
      <c r="E578" s="93">
        <v>149.38</v>
      </c>
      <c r="F578" s="94" t="s">
        <v>1543</v>
      </c>
      <c r="G578" s="95" t="s">
        <v>179</v>
      </c>
      <c r="H578" s="94">
        <v>104685244</v>
      </c>
      <c r="I578" s="101">
        <f t="shared" si="32"/>
        <v>45034.638194444444</v>
      </c>
      <c r="J578" s="102">
        <f t="shared" si="33"/>
        <v>4</v>
      </c>
      <c r="K578" s="103">
        <f t="shared" si="34"/>
        <v>18</v>
      </c>
      <c r="L578" s="83">
        <f t="shared" si="35"/>
        <v>15</v>
      </c>
    </row>
    <row r="579" spans="1:12" x14ac:dyDescent="0.25">
      <c r="A579" s="105">
        <v>45034.445138888892</v>
      </c>
      <c r="B579" s="107" t="s">
        <v>1589</v>
      </c>
      <c r="C579" s="99" t="s">
        <v>1550</v>
      </c>
      <c r="D579" s="99" t="s">
        <v>1551</v>
      </c>
      <c r="E579" s="93">
        <v>100</v>
      </c>
      <c r="F579" s="94" t="s">
        <v>1543</v>
      </c>
      <c r="G579" s="95" t="s">
        <v>181</v>
      </c>
      <c r="H579" s="94">
        <v>103381968</v>
      </c>
      <c r="I579" s="101">
        <f t="shared" ref="I579:I642" si="36">A579</f>
        <v>45034.445138888892</v>
      </c>
      <c r="J579" s="102">
        <f t="shared" ref="J579:J642" si="37">MONTH(A579)</f>
        <v>4</v>
      </c>
      <c r="K579" s="103">
        <f t="shared" ref="K579:K642" si="38">DAY(A579)</f>
        <v>18</v>
      </c>
      <c r="L579" s="83">
        <f t="shared" ref="L579:L642" si="39">HOUR(A579)</f>
        <v>10</v>
      </c>
    </row>
    <row r="580" spans="1:12" x14ac:dyDescent="0.25">
      <c r="A580" s="105">
        <v>45034.493055555555</v>
      </c>
      <c r="B580" s="107" t="s">
        <v>1590</v>
      </c>
      <c r="C580" s="99" t="s">
        <v>1557</v>
      </c>
      <c r="D580" s="99" t="s">
        <v>1558</v>
      </c>
      <c r="E580" s="93">
        <v>10.4</v>
      </c>
      <c r="F580" s="94" t="s">
        <v>1543</v>
      </c>
      <c r="G580" s="95" t="s">
        <v>183</v>
      </c>
      <c r="H580" s="94">
        <v>105709202</v>
      </c>
      <c r="I580" s="101">
        <f t="shared" si="36"/>
        <v>45034.493055555555</v>
      </c>
      <c r="J580" s="102">
        <f t="shared" si="37"/>
        <v>4</v>
      </c>
      <c r="K580" s="103">
        <f t="shared" si="38"/>
        <v>18</v>
      </c>
      <c r="L580" s="83">
        <f t="shared" si="39"/>
        <v>11</v>
      </c>
    </row>
    <row r="581" spans="1:12" x14ac:dyDescent="0.25">
      <c r="A581" s="105">
        <v>45034.719444444447</v>
      </c>
      <c r="B581" s="107" t="s">
        <v>1591</v>
      </c>
      <c r="C581" s="99" t="s">
        <v>1562</v>
      </c>
      <c r="D581" s="99" t="s">
        <v>1563</v>
      </c>
      <c r="E581" s="93">
        <v>32.5</v>
      </c>
      <c r="F581" s="94" t="s">
        <v>1543</v>
      </c>
      <c r="G581" s="95" t="s">
        <v>186</v>
      </c>
      <c r="H581" s="94">
        <v>105595131</v>
      </c>
      <c r="I581" s="101">
        <f t="shared" si="36"/>
        <v>45034.719444444447</v>
      </c>
      <c r="J581" s="102">
        <f t="shared" si="37"/>
        <v>4</v>
      </c>
      <c r="K581" s="103">
        <f t="shared" si="38"/>
        <v>18</v>
      </c>
      <c r="L581" s="83">
        <f t="shared" si="39"/>
        <v>17</v>
      </c>
    </row>
    <row r="582" spans="1:12" x14ac:dyDescent="0.25">
      <c r="A582" s="105">
        <v>45034.427083333336</v>
      </c>
      <c r="B582" s="107" t="s">
        <v>1592</v>
      </c>
      <c r="C582" s="99" t="s">
        <v>1576</v>
      </c>
      <c r="D582" s="99" t="s">
        <v>1577</v>
      </c>
      <c r="E582" s="93">
        <v>23.67</v>
      </c>
      <c r="F582" s="94" t="s">
        <v>1543</v>
      </c>
      <c r="G582" s="95" t="s">
        <v>188</v>
      </c>
      <c r="H582" s="94">
        <v>103699690</v>
      </c>
      <c r="I582" s="101">
        <f t="shared" si="36"/>
        <v>45034.427083333336</v>
      </c>
      <c r="J582" s="102">
        <f t="shared" si="37"/>
        <v>4</v>
      </c>
      <c r="K582" s="103">
        <f t="shared" si="38"/>
        <v>18</v>
      </c>
      <c r="L582" s="83">
        <f t="shared" si="39"/>
        <v>10</v>
      </c>
    </row>
    <row r="583" spans="1:12" x14ac:dyDescent="0.25">
      <c r="A583" s="105">
        <v>45034.67291666667</v>
      </c>
      <c r="B583" s="107" t="s">
        <v>1593</v>
      </c>
      <c r="C583" s="99" t="s">
        <v>1569</v>
      </c>
      <c r="D583" s="99" t="s">
        <v>1570</v>
      </c>
      <c r="E583" s="93">
        <v>282</v>
      </c>
      <c r="F583" s="94" t="s">
        <v>1543</v>
      </c>
      <c r="G583" s="95" t="s">
        <v>190</v>
      </c>
      <c r="H583" s="94">
        <v>104433405</v>
      </c>
      <c r="I583" s="101">
        <f t="shared" si="36"/>
        <v>45034.67291666667</v>
      </c>
      <c r="J583" s="102">
        <f t="shared" si="37"/>
        <v>4</v>
      </c>
      <c r="K583" s="103">
        <f t="shared" si="38"/>
        <v>18</v>
      </c>
      <c r="L583" s="83">
        <f t="shared" si="39"/>
        <v>16</v>
      </c>
    </row>
    <row r="584" spans="1:12" x14ac:dyDescent="0.25">
      <c r="A584" s="105">
        <v>44940.636805555558</v>
      </c>
      <c r="B584" s="107" t="s">
        <v>1594</v>
      </c>
      <c r="C584" s="99" t="s">
        <v>1548</v>
      </c>
      <c r="D584" s="99" t="s">
        <v>1549</v>
      </c>
      <c r="E584" s="93">
        <v>124.48</v>
      </c>
      <c r="F584" s="94" t="s">
        <v>1543</v>
      </c>
      <c r="G584" s="95" t="s">
        <v>192</v>
      </c>
      <c r="H584" s="94">
        <v>105361197</v>
      </c>
      <c r="I584" s="101">
        <f t="shared" si="36"/>
        <v>44940.636805555558</v>
      </c>
      <c r="J584" s="102">
        <f t="shared" si="37"/>
        <v>1</v>
      </c>
      <c r="K584" s="103">
        <f t="shared" si="38"/>
        <v>14</v>
      </c>
      <c r="L584" s="83">
        <f t="shared" si="39"/>
        <v>15</v>
      </c>
    </row>
    <row r="585" spans="1:12" x14ac:dyDescent="0.25">
      <c r="A585" s="105">
        <v>44940.506249999999</v>
      </c>
      <c r="B585" s="107" t="s">
        <v>1595</v>
      </c>
      <c r="C585" s="99" t="s">
        <v>1559</v>
      </c>
      <c r="D585" s="99" t="s">
        <v>1560</v>
      </c>
      <c r="E585" s="93">
        <v>55.29</v>
      </c>
      <c r="F585" s="94" t="s">
        <v>1543</v>
      </c>
      <c r="G585" s="95" t="s">
        <v>194</v>
      </c>
      <c r="H585" s="94">
        <v>104271440</v>
      </c>
      <c r="I585" s="101">
        <f t="shared" si="36"/>
        <v>44940.506249999999</v>
      </c>
      <c r="J585" s="102">
        <f t="shared" si="37"/>
        <v>1</v>
      </c>
      <c r="K585" s="103">
        <f t="shared" si="38"/>
        <v>14</v>
      </c>
      <c r="L585" s="83">
        <f t="shared" si="39"/>
        <v>12</v>
      </c>
    </row>
    <row r="586" spans="1:12" x14ac:dyDescent="0.25">
      <c r="A586" s="105">
        <v>44940.646527777775</v>
      </c>
      <c r="B586" s="107" t="s">
        <v>1597</v>
      </c>
      <c r="C586" s="99" t="s">
        <v>1571</v>
      </c>
      <c r="D586" s="99" t="s">
        <v>1572</v>
      </c>
      <c r="E586" s="93">
        <v>162</v>
      </c>
      <c r="F586" s="94" t="s">
        <v>1543</v>
      </c>
      <c r="G586" s="95" t="s">
        <v>196</v>
      </c>
      <c r="H586" s="94">
        <v>105438863</v>
      </c>
      <c r="I586" s="101">
        <f t="shared" si="36"/>
        <v>44940.646527777775</v>
      </c>
      <c r="J586" s="102">
        <f t="shared" si="37"/>
        <v>1</v>
      </c>
      <c r="K586" s="103">
        <f t="shared" si="38"/>
        <v>14</v>
      </c>
      <c r="L586" s="83">
        <f t="shared" si="39"/>
        <v>15</v>
      </c>
    </row>
    <row r="587" spans="1:12" x14ac:dyDescent="0.25">
      <c r="A587" s="105">
        <v>44940.563888888886</v>
      </c>
      <c r="B587" s="107" t="s">
        <v>1547</v>
      </c>
      <c r="C587" s="99" t="s">
        <v>1550</v>
      </c>
      <c r="D587" s="99" t="s">
        <v>1551</v>
      </c>
      <c r="E587" s="93">
        <v>100</v>
      </c>
      <c r="F587" s="94" t="s">
        <v>1543</v>
      </c>
      <c r="G587" s="95" t="s">
        <v>198</v>
      </c>
      <c r="H587" s="94">
        <v>105535549</v>
      </c>
      <c r="I587" s="101">
        <f t="shared" si="36"/>
        <v>44940.563888888886</v>
      </c>
      <c r="J587" s="102">
        <f t="shared" si="37"/>
        <v>1</v>
      </c>
      <c r="K587" s="103">
        <f t="shared" si="38"/>
        <v>14</v>
      </c>
      <c r="L587" s="83">
        <f t="shared" si="39"/>
        <v>13</v>
      </c>
    </row>
    <row r="588" spans="1:12" x14ac:dyDescent="0.25">
      <c r="A588" s="105">
        <v>44940.435416666667</v>
      </c>
      <c r="B588" s="107" t="s">
        <v>1554</v>
      </c>
      <c r="C588" s="99" t="s">
        <v>1557</v>
      </c>
      <c r="D588" s="99" t="s">
        <v>1558</v>
      </c>
      <c r="E588" s="93">
        <v>64</v>
      </c>
      <c r="F588" s="94" t="s">
        <v>1543</v>
      </c>
      <c r="G588" s="95" t="s">
        <v>200</v>
      </c>
      <c r="H588" s="94">
        <v>102838785</v>
      </c>
      <c r="I588" s="101">
        <f t="shared" si="36"/>
        <v>44940.435416666667</v>
      </c>
      <c r="J588" s="102">
        <f t="shared" si="37"/>
        <v>1</v>
      </c>
      <c r="K588" s="103">
        <f t="shared" si="38"/>
        <v>14</v>
      </c>
      <c r="L588" s="83">
        <f t="shared" si="39"/>
        <v>10</v>
      </c>
    </row>
    <row r="589" spans="1:12" x14ac:dyDescent="0.25">
      <c r="A589" s="105">
        <v>44940.689583333333</v>
      </c>
      <c r="B589" s="107" t="s">
        <v>1561</v>
      </c>
      <c r="C589" s="99" t="s">
        <v>1555</v>
      </c>
      <c r="D589" s="99" t="s">
        <v>1556</v>
      </c>
      <c r="E589" s="93">
        <v>181</v>
      </c>
      <c r="F589" s="94" t="s">
        <v>1543</v>
      </c>
      <c r="G589" s="95" t="s">
        <v>202</v>
      </c>
      <c r="H589" s="94">
        <v>104759099</v>
      </c>
      <c r="I589" s="101">
        <f t="shared" si="36"/>
        <v>44940.689583333333</v>
      </c>
      <c r="J589" s="102">
        <f t="shared" si="37"/>
        <v>1</v>
      </c>
      <c r="K589" s="103">
        <f t="shared" si="38"/>
        <v>14</v>
      </c>
      <c r="L589" s="83">
        <f t="shared" si="39"/>
        <v>16</v>
      </c>
    </row>
    <row r="590" spans="1:12" x14ac:dyDescent="0.25">
      <c r="A590" s="105">
        <v>44940.496527777781</v>
      </c>
      <c r="B590" s="107" t="s">
        <v>1568</v>
      </c>
      <c r="C590" s="99" t="s">
        <v>1548</v>
      </c>
      <c r="D590" s="99" t="s">
        <v>1549</v>
      </c>
      <c r="E590" s="93">
        <v>80.73</v>
      </c>
      <c r="F590" s="94" t="s">
        <v>1543</v>
      </c>
      <c r="G590" s="95" t="s">
        <v>204</v>
      </c>
      <c r="H590" s="94">
        <v>103208616</v>
      </c>
      <c r="I590" s="101">
        <f t="shared" si="36"/>
        <v>44940.496527777781</v>
      </c>
      <c r="J590" s="102">
        <f t="shared" si="37"/>
        <v>1</v>
      </c>
      <c r="K590" s="103">
        <f t="shared" si="38"/>
        <v>14</v>
      </c>
      <c r="L590" s="83">
        <f t="shared" si="39"/>
        <v>11</v>
      </c>
    </row>
    <row r="591" spans="1:12" x14ac:dyDescent="0.25">
      <c r="A591" s="105">
        <v>44940.51458333333</v>
      </c>
      <c r="B591" s="107" t="s">
        <v>1575</v>
      </c>
      <c r="C591" s="99" t="s">
        <v>1550</v>
      </c>
      <c r="D591" s="99" t="s">
        <v>1551</v>
      </c>
      <c r="E591" s="93">
        <v>202.65</v>
      </c>
      <c r="F591" s="94" t="s">
        <v>1543</v>
      </c>
      <c r="G591" s="95" t="s">
        <v>206</v>
      </c>
      <c r="H591" s="94">
        <v>102204521</v>
      </c>
      <c r="I591" s="101">
        <f t="shared" si="36"/>
        <v>44940.51458333333</v>
      </c>
      <c r="J591" s="102">
        <f t="shared" si="37"/>
        <v>1</v>
      </c>
      <c r="K591" s="103">
        <f t="shared" si="38"/>
        <v>14</v>
      </c>
      <c r="L591" s="83">
        <f t="shared" si="39"/>
        <v>12</v>
      </c>
    </row>
    <row r="592" spans="1:12" x14ac:dyDescent="0.25">
      <c r="A592" s="105">
        <v>44940.652777777781</v>
      </c>
      <c r="B592" s="107" t="s">
        <v>1582</v>
      </c>
      <c r="C592" s="99" t="s">
        <v>1552</v>
      </c>
      <c r="D592" s="99" t="s">
        <v>1553</v>
      </c>
      <c r="E592" s="93">
        <v>107</v>
      </c>
      <c r="F592" s="94" t="s">
        <v>1543</v>
      </c>
      <c r="G592" s="95" t="s">
        <v>208</v>
      </c>
      <c r="H592" s="94">
        <v>104986289</v>
      </c>
      <c r="I592" s="101">
        <f t="shared" si="36"/>
        <v>44940.652777777781</v>
      </c>
      <c r="J592" s="102">
        <f t="shared" si="37"/>
        <v>1</v>
      </c>
      <c r="K592" s="103">
        <f t="shared" si="38"/>
        <v>14</v>
      </c>
      <c r="L592" s="83">
        <f t="shared" si="39"/>
        <v>15</v>
      </c>
    </row>
    <row r="593" spans="1:12" x14ac:dyDescent="0.25">
      <c r="A593" s="105">
        <v>44940.602777777778</v>
      </c>
      <c r="B593" s="107" t="s">
        <v>1586</v>
      </c>
      <c r="C593" s="99" t="s">
        <v>1555</v>
      </c>
      <c r="D593" s="99" t="s">
        <v>1556</v>
      </c>
      <c r="E593" s="93">
        <v>168.99</v>
      </c>
      <c r="F593" s="94" t="s">
        <v>1543</v>
      </c>
      <c r="G593" s="95" t="s">
        <v>210</v>
      </c>
      <c r="H593" s="94">
        <v>102616656</v>
      </c>
      <c r="I593" s="101">
        <f t="shared" si="36"/>
        <v>44940.602777777778</v>
      </c>
      <c r="J593" s="102">
        <f t="shared" si="37"/>
        <v>1</v>
      </c>
      <c r="K593" s="103">
        <f t="shared" si="38"/>
        <v>14</v>
      </c>
      <c r="L593" s="83">
        <f t="shared" si="39"/>
        <v>14</v>
      </c>
    </row>
    <row r="594" spans="1:12" x14ac:dyDescent="0.25">
      <c r="A594" s="105">
        <v>44940.5</v>
      </c>
      <c r="B594" s="107" t="s">
        <v>1589</v>
      </c>
      <c r="C594" s="99" t="s">
        <v>1557</v>
      </c>
      <c r="D594" s="99" t="s">
        <v>1558</v>
      </c>
      <c r="E594" s="93">
        <v>54.39</v>
      </c>
      <c r="F594" s="94" t="s">
        <v>1543</v>
      </c>
      <c r="G594" s="95" t="s">
        <v>212</v>
      </c>
      <c r="H594" s="94">
        <v>105646104</v>
      </c>
      <c r="I594" s="101">
        <f t="shared" si="36"/>
        <v>44940.5</v>
      </c>
      <c r="J594" s="102">
        <f t="shared" si="37"/>
        <v>1</v>
      </c>
      <c r="K594" s="103">
        <f t="shared" si="38"/>
        <v>14</v>
      </c>
      <c r="L594" s="83">
        <f t="shared" si="39"/>
        <v>12</v>
      </c>
    </row>
    <row r="595" spans="1:12" x14ac:dyDescent="0.25">
      <c r="A595" s="105">
        <v>44940.428472222222</v>
      </c>
      <c r="B595" s="107" t="s">
        <v>1590</v>
      </c>
      <c r="C595" s="99" t="s">
        <v>1559</v>
      </c>
      <c r="D595" s="99" t="s">
        <v>1560</v>
      </c>
      <c r="E595" s="93">
        <v>65</v>
      </c>
      <c r="F595" s="94" t="s">
        <v>1543</v>
      </c>
      <c r="G595" s="95" t="s">
        <v>214</v>
      </c>
      <c r="H595" s="94">
        <v>104475217</v>
      </c>
      <c r="I595" s="101">
        <f t="shared" si="36"/>
        <v>44940.428472222222</v>
      </c>
      <c r="J595" s="102">
        <f t="shared" si="37"/>
        <v>1</v>
      </c>
      <c r="K595" s="103">
        <f t="shared" si="38"/>
        <v>14</v>
      </c>
      <c r="L595" s="83">
        <f t="shared" si="39"/>
        <v>10</v>
      </c>
    </row>
    <row r="596" spans="1:12" x14ac:dyDescent="0.25">
      <c r="A596" s="105">
        <v>44940.731944444444</v>
      </c>
      <c r="B596" s="107" t="s">
        <v>1591</v>
      </c>
      <c r="C596" s="99" t="s">
        <v>1562</v>
      </c>
      <c r="D596" s="99" t="s">
        <v>1563</v>
      </c>
      <c r="E596" s="93">
        <v>50</v>
      </c>
      <c r="F596" s="94" t="s">
        <v>1544</v>
      </c>
      <c r="G596" s="95" t="s">
        <v>216</v>
      </c>
      <c r="H596" s="94">
        <v>105048052</v>
      </c>
      <c r="I596" s="101">
        <f t="shared" si="36"/>
        <v>44940.731944444444</v>
      </c>
      <c r="J596" s="102">
        <f t="shared" si="37"/>
        <v>1</v>
      </c>
      <c r="K596" s="103">
        <f t="shared" si="38"/>
        <v>14</v>
      </c>
      <c r="L596" s="83">
        <f t="shared" si="39"/>
        <v>17</v>
      </c>
    </row>
    <row r="597" spans="1:12" x14ac:dyDescent="0.25">
      <c r="A597" s="105">
        <v>44940.430555555555</v>
      </c>
      <c r="B597" s="107" t="s">
        <v>1592</v>
      </c>
      <c r="C597" s="99" t="s">
        <v>1564</v>
      </c>
      <c r="D597" s="99" t="s">
        <v>1565</v>
      </c>
      <c r="E597" s="93">
        <v>59.62</v>
      </c>
      <c r="F597" s="94" t="s">
        <v>1543</v>
      </c>
      <c r="G597" s="95" t="s">
        <v>218</v>
      </c>
      <c r="H597" s="94">
        <v>104390430</v>
      </c>
      <c r="I597" s="101">
        <f t="shared" si="36"/>
        <v>44940.430555555555</v>
      </c>
      <c r="J597" s="102">
        <f t="shared" si="37"/>
        <v>1</v>
      </c>
      <c r="K597" s="103">
        <f t="shared" si="38"/>
        <v>14</v>
      </c>
      <c r="L597" s="83">
        <f t="shared" si="39"/>
        <v>10</v>
      </c>
    </row>
    <row r="598" spans="1:12" x14ac:dyDescent="0.25">
      <c r="A598" s="105">
        <v>44940.557638888888</v>
      </c>
      <c r="B598" s="107" t="s">
        <v>1593</v>
      </c>
      <c r="C598" s="99" t="s">
        <v>1566</v>
      </c>
      <c r="D598" s="99" t="s">
        <v>1567</v>
      </c>
      <c r="E598" s="93">
        <v>33.97</v>
      </c>
      <c r="F598" s="94" t="s">
        <v>1543</v>
      </c>
      <c r="G598" s="95" t="s">
        <v>220</v>
      </c>
      <c r="H598" s="94">
        <v>101694910</v>
      </c>
      <c r="I598" s="101">
        <f t="shared" si="36"/>
        <v>44940.557638888888</v>
      </c>
      <c r="J598" s="102">
        <f t="shared" si="37"/>
        <v>1</v>
      </c>
      <c r="K598" s="103">
        <f t="shared" si="38"/>
        <v>14</v>
      </c>
      <c r="L598" s="83">
        <f t="shared" si="39"/>
        <v>13</v>
      </c>
    </row>
    <row r="599" spans="1:12" x14ac:dyDescent="0.25">
      <c r="A599" s="105">
        <v>45034.665277777778</v>
      </c>
      <c r="B599" s="107" t="s">
        <v>1594</v>
      </c>
      <c r="C599" s="99" t="s">
        <v>1569</v>
      </c>
      <c r="D599" s="99" t="s">
        <v>1570</v>
      </c>
      <c r="E599" s="93">
        <v>50</v>
      </c>
      <c r="F599" s="94" t="s">
        <v>1543</v>
      </c>
      <c r="G599" s="95" t="s">
        <v>222</v>
      </c>
      <c r="H599" s="94">
        <v>105517962</v>
      </c>
      <c r="I599" s="101">
        <f t="shared" si="36"/>
        <v>45034.665277777778</v>
      </c>
      <c r="J599" s="102">
        <f t="shared" si="37"/>
        <v>4</v>
      </c>
      <c r="K599" s="103">
        <f t="shared" si="38"/>
        <v>18</v>
      </c>
      <c r="L599" s="83">
        <f t="shared" si="39"/>
        <v>15</v>
      </c>
    </row>
    <row r="600" spans="1:12" x14ac:dyDescent="0.25">
      <c r="A600" s="105">
        <v>45034.599305555559</v>
      </c>
      <c r="B600" s="107" t="s">
        <v>1595</v>
      </c>
      <c r="C600" s="99" t="s">
        <v>1571</v>
      </c>
      <c r="D600" s="99" t="s">
        <v>1572</v>
      </c>
      <c r="E600" s="93">
        <v>73</v>
      </c>
      <c r="F600" s="94" t="s">
        <v>1543</v>
      </c>
      <c r="G600" s="95" t="s">
        <v>224</v>
      </c>
      <c r="H600" s="94">
        <v>101348937</v>
      </c>
      <c r="I600" s="101">
        <f t="shared" si="36"/>
        <v>45034.599305555559</v>
      </c>
      <c r="J600" s="102">
        <f t="shared" si="37"/>
        <v>4</v>
      </c>
      <c r="K600" s="103">
        <f t="shared" si="38"/>
        <v>18</v>
      </c>
      <c r="L600" s="83">
        <f t="shared" si="39"/>
        <v>14</v>
      </c>
    </row>
    <row r="601" spans="1:12" x14ac:dyDescent="0.25">
      <c r="A601" s="105">
        <v>45034.456944444442</v>
      </c>
      <c r="B601" s="107" t="s">
        <v>1597</v>
      </c>
      <c r="C601" s="99" t="s">
        <v>1573</v>
      </c>
      <c r="D601" s="99" t="s">
        <v>1574</v>
      </c>
      <c r="E601" s="93">
        <v>358</v>
      </c>
      <c r="F601" s="94" t="s">
        <v>1544</v>
      </c>
      <c r="G601" s="95" t="s">
        <v>226</v>
      </c>
      <c r="H601" s="94">
        <v>105057101</v>
      </c>
      <c r="I601" s="101">
        <f t="shared" si="36"/>
        <v>45034.456944444442</v>
      </c>
      <c r="J601" s="102">
        <f t="shared" si="37"/>
        <v>4</v>
      </c>
      <c r="K601" s="103">
        <f t="shared" si="38"/>
        <v>18</v>
      </c>
      <c r="L601" s="83">
        <f t="shared" si="39"/>
        <v>10</v>
      </c>
    </row>
    <row r="602" spans="1:12" x14ac:dyDescent="0.25">
      <c r="A602" s="105">
        <v>45034.488888888889</v>
      </c>
      <c r="B602" s="107" t="s">
        <v>1547</v>
      </c>
      <c r="C602" s="99" t="s">
        <v>1576</v>
      </c>
      <c r="D602" s="99" t="s">
        <v>1577</v>
      </c>
      <c r="E602" s="93">
        <v>20</v>
      </c>
      <c r="F602" s="94" t="s">
        <v>1544</v>
      </c>
      <c r="G602" s="95" t="s">
        <v>228</v>
      </c>
      <c r="H602" s="94">
        <v>104867694</v>
      </c>
      <c r="I602" s="101">
        <f t="shared" si="36"/>
        <v>45034.488888888889</v>
      </c>
      <c r="J602" s="102">
        <f t="shared" si="37"/>
        <v>4</v>
      </c>
      <c r="K602" s="103">
        <f t="shared" si="38"/>
        <v>18</v>
      </c>
      <c r="L602" s="83">
        <f t="shared" si="39"/>
        <v>11</v>
      </c>
    </row>
    <row r="603" spans="1:12" x14ac:dyDescent="0.25">
      <c r="A603" s="105">
        <v>45034.424305555556</v>
      </c>
      <c r="B603" s="107" t="s">
        <v>1554</v>
      </c>
      <c r="C603" s="99" t="s">
        <v>1578</v>
      </c>
      <c r="D603" s="99" t="s">
        <v>1579</v>
      </c>
      <c r="E603" s="93">
        <v>133</v>
      </c>
      <c r="F603" s="94" t="s">
        <v>1543</v>
      </c>
      <c r="G603" s="95" t="s">
        <v>230</v>
      </c>
      <c r="H603" s="94">
        <v>102584308</v>
      </c>
      <c r="I603" s="101">
        <f t="shared" si="36"/>
        <v>45034.424305555556</v>
      </c>
      <c r="J603" s="102">
        <f t="shared" si="37"/>
        <v>4</v>
      </c>
      <c r="K603" s="103">
        <f t="shared" si="38"/>
        <v>18</v>
      </c>
      <c r="L603" s="83">
        <f t="shared" si="39"/>
        <v>10</v>
      </c>
    </row>
    <row r="604" spans="1:12" x14ac:dyDescent="0.25">
      <c r="A604" s="105">
        <v>45034.688194444447</v>
      </c>
      <c r="B604" s="107" t="s">
        <v>1561</v>
      </c>
      <c r="C604" s="99" t="s">
        <v>1580</v>
      </c>
      <c r="D604" s="99" t="s">
        <v>1581</v>
      </c>
      <c r="E604" s="93">
        <v>149.65</v>
      </c>
      <c r="F604" s="94" t="s">
        <v>1543</v>
      </c>
      <c r="G604" s="95" t="s">
        <v>232</v>
      </c>
      <c r="H604" s="94">
        <v>103601415</v>
      </c>
      <c r="I604" s="101">
        <f t="shared" si="36"/>
        <v>45034.688194444447</v>
      </c>
      <c r="J604" s="102">
        <f t="shared" si="37"/>
        <v>4</v>
      </c>
      <c r="K604" s="103">
        <f t="shared" si="38"/>
        <v>18</v>
      </c>
      <c r="L604" s="83">
        <f t="shared" si="39"/>
        <v>16</v>
      </c>
    </row>
    <row r="605" spans="1:12" x14ac:dyDescent="0.25">
      <c r="A605" s="105">
        <v>45034.537499999999</v>
      </c>
      <c r="B605" s="107" t="s">
        <v>1568</v>
      </c>
      <c r="C605" s="99" t="s">
        <v>1548</v>
      </c>
      <c r="D605" s="99" t="s">
        <v>1549</v>
      </c>
      <c r="E605" s="93">
        <v>64.63</v>
      </c>
      <c r="F605" s="94" t="s">
        <v>1543</v>
      </c>
      <c r="G605" s="95" t="s">
        <v>234</v>
      </c>
      <c r="H605" s="94">
        <v>104038492</v>
      </c>
      <c r="I605" s="101">
        <f t="shared" si="36"/>
        <v>45034.537499999999</v>
      </c>
      <c r="J605" s="102">
        <f t="shared" si="37"/>
        <v>4</v>
      </c>
      <c r="K605" s="103">
        <f t="shared" si="38"/>
        <v>18</v>
      </c>
      <c r="L605" s="83">
        <f t="shared" si="39"/>
        <v>12</v>
      </c>
    </row>
    <row r="606" spans="1:12" x14ac:dyDescent="0.25">
      <c r="A606" s="105">
        <v>45034.458333333336</v>
      </c>
      <c r="B606" s="107" t="s">
        <v>1575</v>
      </c>
      <c r="C606" s="99" t="s">
        <v>1583</v>
      </c>
      <c r="D606" s="99" t="s">
        <v>1574</v>
      </c>
      <c r="E606" s="93">
        <v>200</v>
      </c>
      <c r="F606" s="94" t="s">
        <v>1543</v>
      </c>
      <c r="G606" s="95" t="s">
        <v>236</v>
      </c>
      <c r="H606" s="94">
        <v>104710752</v>
      </c>
      <c r="I606" s="101">
        <f t="shared" si="36"/>
        <v>45034.458333333336</v>
      </c>
      <c r="J606" s="102">
        <f t="shared" si="37"/>
        <v>4</v>
      </c>
      <c r="K606" s="103">
        <f t="shared" si="38"/>
        <v>18</v>
      </c>
      <c r="L606" s="83">
        <f t="shared" si="39"/>
        <v>11</v>
      </c>
    </row>
    <row r="607" spans="1:12" x14ac:dyDescent="0.25">
      <c r="A607" s="105">
        <v>45034.49722222222</v>
      </c>
      <c r="B607" s="107" t="s">
        <v>1582</v>
      </c>
      <c r="C607" s="99" t="s">
        <v>1584</v>
      </c>
      <c r="D607" s="99" t="s">
        <v>1585</v>
      </c>
      <c r="E607" s="93">
        <v>37.28</v>
      </c>
      <c r="F607" s="94" t="s">
        <v>1543</v>
      </c>
      <c r="G607" s="95" t="s">
        <v>241</v>
      </c>
      <c r="H607" s="94">
        <v>105703662</v>
      </c>
      <c r="I607" s="101">
        <f t="shared" si="36"/>
        <v>45034.49722222222</v>
      </c>
      <c r="J607" s="102">
        <f t="shared" si="37"/>
        <v>4</v>
      </c>
      <c r="K607" s="103">
        <f t="shared" si="38"/>
        <v>18</v>
      </c>
      <c r="L607" s="83">
        <f t="shared" si="39"/>
        <v>11</v>
      </c>
    </row>
    <row r="608" spans="1:12" x14ac:dyDescent="0.25">
      <c r="A608" s="105">
        <v>45034.597916666666</v>
      </c>
      <c r="B608" s="107" t="s">
        <v>1586</v>
      </c>
      <c r="C608" s="99" t="s">
        <v>1557</v>
      </c>
      <c r="D608" s="99" t="s">
        <v>1558</v>
      </c>
      <c r="E608" s="93">
        <v>5</v>
      </c>
      <c r="F608" s="94" t="s">
        <v>1544</v>
      </c>
      <c r="G608" s="95" t="s">
        <v>243</v>
      </c>
      <c r="H608" s="94">
        <v>105057101</v>
      </c>
      <c r="I608" s="101">
        <f t="shared" si="36"/>
        <v>45034.597916666666</v>
      </c>
      <c r="J608" s="102">
        <f t="shared" si="37"/>
        <v>4</v>
      </c>
      <c r="K608" s="103">
        <f t="shared" si="38"/>
        <v>18</v>
      </c>
      <c r="L608" s="83">
        <f t="shared" si="39"/>
        <v>14</v>
      </c>
    </row>
    <row r="609" spans="1:12" x14ac:dyDescent="0.25">
      <c r="A609" s="105">
        <v>45034.649305555555</v>
      </c>
      <c r="B609" s="107" t="s">
        <v>1589</v>
      </c>
      <c r="C609" s="99" t="s">
        <v>1587</v>
      </c>
      <c r="D609" s="99" t="s">
        <v>1588</v>
      </c>
      <c r="E609" s="93">
        <v>100</v>
      </c>
      <c r="F609" s="94" t="s">
        <v>1544</v>
      </c>
      <c r="G609" s="95" t="s">
        <v>245</v>
      </c>
      <c r="H609" s="94">
        <v>104433964</v>
      </c>
      <c r="I609" s="101">
        <f t="shared" si="36"/>
        <v>45034.649305555555</v>
      </c>
      <c r="J609" s="102">
        <f t="shared" si="37"/>
        <v>4</v>
      </c>
      <c r="K609" s="103">
        <f t="shared" si="38"/>
        <v>18</v>
      </c>
      <c r="L609" s="83">
        <f t="shared" si="39"/>
        <v>15</v>
      </c>
    </row>
    <row r="610" spans="1:12" x14ac:dyDescent="0.25">
      <c r="A610" s="105">
        <v>45034.713888888888</v>
      </c>
      <c r="B610" s="107" t="s">
        <v>1590</v>
      </c>
      <c r="C610" s="99" t="s">
        <v>1564</v>
      </c>
      <c r="D610" s="99" t="s">
        <v>1565</v>
      </c>
      <c r="E610" s="93">
        <v>130.34</v>
      </c>
      <c r="F610" s="94" t="s">
        <v>1543</v>
      </c>
      <c r="G610" s="95" t="s">
        <v>247</v>
      </c>
      <c r="H610" s="94">
        <v>104325259</v>
      </c>
      <c r="I610" s="101">
        <f t="shared" si="36"/>
        <v>45034.713888888888</v>
      </c>
      <c r="J610" s="102">
        <f t="shared" si="37"/>
        <v>4</v>
      </c>
      <c r="K610" s="103">
        <f t="shared" si="38"/>
        <v>18</v>
      </c>
      <c r="L610" s="83">
        <f t="shared" si="39"/>
        <v>17</v>
      </c>
    </row>
    <row r="611" spans="1:12" x14ac:dyDescent="0.25">
      <c r="A611" s="105">
        <v>45034.74722222222</v>
      </c>
      <c r="B611" s="107" t="s">
        <v>1591</v>
      </c>
      <c r="C611" s="99" t="s">
        <v>1548</v>
      </c>
      <c r="D611" s="99" t="s">
        <v>1549</v>
      </c>
      <c r="E611" s="93">
        <v>91.83</v>
      </c>
      <c r="F611" s="94" t="s">
        <v>1543</v>
      </c>
      <c r="G611" s="95" t="s">
        <v>249</v>
      </c>
      <c r="H611" s="94">
        <v>105548678</v>
      </c>
      <c r="I611" s="101">
        <f t="shared" si="36"/>
        <v>45034.74722222222</v>
      </c>
      <c r="J611" s="102">
        <f t="shared" si="37"/>
        <v>4</v>
      </c>
      <c r="K611" s="103">
        <f t="shared" si="38"/>
        <v>18</v>
      </c>
      <c r="L611" s="83">
        <f t="shared" si="39"/>
        <v>17</v>
      </c>
    </row>
    <row r="612" spans="1:12" x14ac:dyDescent="0.25">
      <c r="A612" s="105">
        <v>45034.645138888889</v>
      </c>
      <c r="B612" s="107" t="s">
        <v>1592</v>
      </c>
      <c r="C612" s="99" t="s">
        <v>1550</v>
      </c>
      <c r="D612" s="99" t="s">
        <v>1551</v>
      </c>
      <c r="E612" s="93">
        <v>16.010000000000002</v>
      </c>
      <c r="F612" s="94" t="s">
        <v>1544</v>
      </c>
      <c r="G612" s="95" t="s">
        <v>251</v>
      </c>
      <c r="H612" s="94">
        <v>101507620</v>
      </c>
      <c r="I612" s="101">
        <f t="shared" si="36"/>
        <v>45034.645138888889</v>
      </c>
      <c r="J612" s="102">
        <f t="shared" si="37"/>
        <v>4</v>
      </c>
      <c r="K612" s="103">
        <f t="shared" si="38"/>
        <v>18</v>
      </c>
      <c r="L612" s="83">
        <f t="shared" si="39"/>
        <v>15</v>
      </c>
    </row>
    <row r="613" spans="1:12" x14ac:dyDescent="0.25">
      <c r="A613" s="105">
        <v>44928.631249999999</v>
      </c>
      <c r="B613" s="107" t="s">
        <v>1593</v>
      </c>
      <c r="C613" s="99" t="s">
        <v>1562</v>
      </c>
      <c r="D613" s="99" t="s">
        <v>1563</v>
      </c>
      <c r="E613" s="93">
        <v>87</v>
      </c>
      <c r="F613" s="94" t="s">
        <v>1543</v>
      </c>
      <c r="G613" s="95" t="s">
        <v>253</v>
      </c>
      <c r="H613" s="94">
        <v>103864203</v>
      </c>
      <c r="I613" s="101">
        <f t="shared" si="36"/>
        <v>44928.631249999999</v>
      </c>
      <c r="J613" s="102">
        <f t="shared" si="37"/>
        <v>1</v>
      </c>
      <c r="K613" s="103">
        <f t="shared" si="38"/>
        <v>2</v>
      </c>
      <c r="L613" s="83">
        <f t="shared" si="39"/>
        <v>15</v>
      </c>
    </row>
    <row r="614" spans="1:12" x14ac:dyDescent="0.25">
      <c r="A614" s="105">
        <v>44928.745833333334</v>
      </c>
      <c r="B614" s="107" t="s">
        <v>1594</v>
      </c>
      <c r="C614" s="99" t="s">
        <v>1552</v>
      </c>
      <c r="D614" s="99" t="s">
        <v>1553</v>
      </c>
      <c r="E614" s="93">
        <v>253</v>
      </c>
      <c r="F614" s="94" t="s">
        <v>1543</v>
      </c>
      <c r="G614" s="95" t="s">
        <v>255</v>
      </c>
      <c r="H614" s="94">
        <v>104427735</v>
      </c>
      <c r="I614" s="101">
        <f t="shared" si="36"/>
        <v>44928.745833333334</v>
      </c>
      <c r="J614" s="102">
        <f t="shared" si="37"/>
        <v>1</v>
      </c>
      <c r="K614" s="103">
        <f t="shared" si="38"/>
        <v>2</v>
      </c>
      <c r="L614" s="83">
        <f t="shared" si="39"/>
        <v>17</v>
      </c>
    </row>
    <row r="615" spans="1:12" x14ac:dyDescent="0.25">
      <c r="A615" s="105">
        <v>44928.438194444447</v>
      </c>
      <c r="B615" s="107" t="s">
        <v>1595</v>
      </c>
      <c r="C615" s="99" t="s">
        <v>1555</v>
      </c>
      <c r="D615" s="99" t="s">
        <v>1556</v>
      </c>
      <c r="E615" s="93">
        <v>12.71</v>
      </c>
      <c r="F615" s="94" t="s">
        <v>1544</v>
      </c>
      <c r="G615" s="95" t="s">
        <v>257</v>
      </c>
      <c r="H615" s="94">
        <v>102432103</v>
      </c>
      <c r="I615" s="101">
        <f t="shared" si="36"/>
        <v>44928.438194444447</v>
      </c>
      <c r="J615" s="102">
        <f t="shared" si="37"/>
        <v>1</v>
      </c>
      <c r="K615" s="103">
        <f t="shared" si="38"/>
        <v>2</v>
      </c>
      <c r="L615" s="83">
        <f t="shared" si="39"/>
        <v>10</v>
      </c>
    </row>
    <row r="616" spans="1:12" x14ac:dyDescent="0.25">
      <c r="A616" s="105">
        <v>44928.539583333331</v>
      </c>
      <c r="B616" s="107" t="s">
        <v>1597</v>
      </c>
      <c r="C616" s="99" t="s">
        <v>1559</v>
      </c>
      <c r="D616" s="99" t="s">
        <v>1560</v>
      </c>
      <c r="E616" s="93">
        <v>40</v>
      </c>
      <c r="F616" s="94" t="s">
        <v>1544</v>
      </c>
      <c r="G616" s="95" t="s">
        <v>259</v>
      </c>
      <c r="H616" s="94">
        <v>104038492</v>
      </c>
      <c r="I616" s="101">
        <f t="shared" si="36"/>
        <v>44928.539583333331</v>
      </c>
      <c r="J616" s="102">
        <f t="shared" si="37"/>
        <v>1</v>
      </c>
      <c r="K616" s="103">
        <f t="shared" si="38"/>
        <v>2</v>
      </c>
      <c r="L616" s="83">
        <f t="shared" si="39"/>
        <v>12</v>
      </c>
    </row>
    <row r="617" spans="1:12" x14ac:dyDescent="0.25">
      <c r="A617" s="105">
        <v>44928.4375</v>
      </c>
      <c r="B617" s="107" t="s">
        <v>1547</v>
      </c>
      <c r="C617" s="99" t="s">
        <v>1548</v>
      </c>
      <c r="D617" s="99" t="s">
        <v>1549</v>
      </c>
      <c r="E617" s="93">
        <v>88.57</v>
      </c>
      <c r="F617" s="94" t="s">
        <v>1543</v>
      </c>
      <c r="G617" s="95" t="s">
        <v>261</v>
      </c>
      <c r="H617" s="94">
        <v>105054585</v>
      </c>
      <c r="I617" s="101">
        <f t="shared" si="36"/>
        <v>44928.4375</v>
      </c>
      <c r="J617" s="102">
        <f t="shared" si="37"/>
        <v>1</v>
      </c>
      <c r="K617" s="103">
        <f t="shared" si="38"/>
        <v>2</v>
      </c>
      <c r="L617" s="83">
        <f t="shared" si="39"/>
        <v>10</v>
      </c>
    </row>
    <row r="618" spans="1:12" x14ac:dyDescent="0.25">
      <c r="A618" s="105">
        <v>44928.595138888886</v>
      </c>
      <c r="B618" s="107" t="s">
        <v>1554</v>
      </c>
      <c r="C618" s="99" t="s">
        <v>1566</v>
      </c>
      <c r="D618" s="99" t="s">
        <v>1567</v>
      </c>
      <c r="E618" s="93">
        <v>100</v>
      </c>
      <c r="F618" s="94" t="s">
        <v>1543</v>
      </c>
      <c r="G618" s="95" t="s">
        <v>263</v>
      </c>
      <c r="H618" s="94">
        <v>103639171</v>
      </c>
      <c r="I618" s="101">
        <f t="shared" si="36"/>
        <v>44928.595138888886</v>
      </c>
      <c r="J618" s="102">
        <f t="shared" si="37"/>
        <v>1</v>
      </c>
      <c r="K618" s="103">
        <f t="shared" si="38"/>
        <v>2</v>
      </c>
      <c r="L618" s="83">
        <f t="shared" si="39"/>
        <v>14</v>
      </c>
    </row>
    <row r="619" spans="1:12" x14ac:dyDescent="0.25">
      <c r="A619" s="105">
        <v>44928.618750000001</v>
      </c>
      <c r="B619" s="107" t="s">
        <v>1561</v>
      </c>
      <c r="C619" s="99" t="s">
        <v>1564</v>
      </c>
      <c r="D619" s="99" t="s">
        <v>1565</v>
      </c>
      <c r="E619" s="93">
        <v>50</v>
      </c>
      <c r="F619" s="94" t="s">
        <v>1543</v>
      </c>
      <c r="G619" s="95" t="s">
        <v>265</v>
      </c>
      <c r="H619" s="94">
        <v>104253015</v>
      </c>
      <c r="I619" s="101">
        <f t="shared" si="36"/>
        <v>44928.618750000001</v>
      </c>
      <c r="J619" s="102">
        <f t="shared" si="37"/>
        <v>1</v>
      </c>
      <c r="K619" s="103">
        <f t="shared" si="38"/>
        <v>2</v>
      </c>
      <c r="L619" s="83">
        <f t="shared" si="39"/>
        <v>14</v>
      </c>
    </row>
    <row r="620" spans="1:12" x14ac:dyDescent="0.25">
      <c r="A620" s="105">
        <v>44928.715277777781</v>
      </c>
      <c r="B620" s="107" t="s">
        <v>1568</v>
      </c>
      <c r="C620" s="99" t="s">
        <v>1548</v>
      </c>
      <c r="D620" s="99" t="s">
        <v>1549</v>
      </c>
      <c r="E620" s="93">
        <v>46.43</v>
      </c>
      <c r="F620" s="94" t="s">
        <v>1544</v>
      </c>
      <c r="G620" s="95" t="s">
        <v>268</v>
      </c>
      <c r="H620" s="94">
        <v>104625452</v>
      </c>
      <c r="I620" s="101">
        <f t="shared" si="36"/>
        <v>44928.715277777781</v>
      </c>
      <c r="J620" s="102">
        <f t="shared" si="37"/>
        <v>1</v>
      </c>
      <c r="K620" s="103">
        <f t="shared" si="38"/>
        <v>2</v>
      </c>
      <c r="L620" s="83">
        <f t="shared" si="39"/>
        <v>17</v>
      </c>
    </row>
    <row r="621" spans="1:12" x14ac:dyDescent="0.25">
      <c r="A621" s="105">
        <v>44928.745138888888</v>
      </c>
      <c r="B621" s="107" t="s">
        <v>1575</v>
      </c>
      <c r="C621" s="99" t="s">
        <v>1550</v>
      </c>
      <c r="D621" s="99" t="s">
        <v>1551</v>
      </c>
      <c r="E621" s="93">
        <v>150</v>
      </c>
      <c r="F621" s="94" t="s">
        <v>1543</v>
      </c>
      <c r="G621" s="95" t="s">
        <v>270</v>
      </c>
      <c r="H621" s="94">
        <v>101612226</v>
      </c>
      <c r="I621" s="101">
        <f t="shared" si="36"/>
        <v>44928.745138888888</v>
      </c>
      <c r="J621" s="102">
        <f t="shared" si="37"/>
        <v>1</v>
      </c>
      <c r="K621" s="103">
        <f t="shared" si="38"/>
        <v>2</v>
      </c>
      <c r="L621" s="83">
        <f t="shared" si="39"/>
        <v>17</v>
      </c>
    </row>
    <row r="622" spans="1:12" x14ac:dyDescent="0.25">
      <c r="A622" s="105">
        <v>44928.654861111114</v>
      </c>
      <c r="B622" s="107" t="s">
        <v>1582</v>
      </c>
      <c r="C622" s="99" t="s">
        <v>1557</v>
      </c>
      <c r="D622" s="99" t="s">
        <v>1558</v>
      </c>
      <c r="E622" s="93">
        <v>120</v>
      </c>
      <c r="F622" s="94" t="s">
        <v>1543</v>
      </c>
      <c r="G622" s="95" t="s">
        <v>272</v>
      </c>
      <c r="H622" s="94">
        <v>102206279</v>
      </c>
      <c r="I622" s="101">
        <f t="shared" si="36"/>
        <v>44928.654861111114</v>
      </c>
      <c r="J622" s="102">
        <f t="shared" si="37"/>
        <v>1</v>
      </c>
      <c r="K622" s="103">
        <f t="shared" si="38"/>
        <v>2</v>
      </c>
      <c r="L622" s="83">
        <f t="shared" si="39"/>
        <v>15</v>
      </c>
    </row>
    <row r="623" spans="1:12" x14ac:dyDescent="0.25">
      <c r="A623" s="105">
        <v>44928.65902777778</v>
      </c>
      <c r="B623" s="107" t="s">
        <v>1586</v>
      </c>
      <c r="C623" s="99" t="s">
        <v>1562</v>
      </c>
      <c r="D623" s="99" t="s">
        <v>1563</v>
      </c>
      <c r="E623" s="93">
        <v>50</v>
      </c>
      <c r="F623" s="94" t="s">
        <v>1544</v>
      </c>
      <c r="G623" s="95" t="s">
        <v>274</v>
      </c>
      <c r="H623" s="94">
        <v>105112222</v>
      </c>
      <c r="I623" s="101">
        <f t="shared" si="36"/>
        <v>44928.65902777778</v>
      </c>
      <c r="J623" s="102">
        <f t="shared" si="37"/>
        <v>1</v>
      </c>
      <c r="K623" s="103">
        <f t="shared" si="38"/>
        <v>2</v>
      </c>
      <c r="L623" s="83">
        <f t="shared" si="39"/>
        <v>15</v>
      </c>
    </row>
    <row r="624" spans="1:12" x14ac:dyDescent="0.25">
      <c r="A624" s="105">
        <v>44928.568749999999</v>
      </c>
      <c r="B624" s="107" t="s">
        <v>1589</v>
      </c>
      <c r="C624" s="99" t="s">
        <v>1576</v>
      </c>
      <c r="D624" s="99" t="s">
        <v>1577</v>
      </c>
      <c r="E624" s="93">
        <v>119</v>
      </c>
      <c r="F624" s="94" t="s">
        <v>1543</v>
      </c>
      <c r="G624" s="95" t="s">
        <v>276</v>
      </c>
      <c r="H624" s="94">
        <v>104066269</v>
      </c>
      <c r="I624" s="101">
        <f t="shared" si="36"/>
        <v>44928.568749999999</v>
      </c>
      <c r="J624" s="102">
        <f t="shared" si="37"/>
        <v>1</v>
      </c>
      <c r="K624" s="103">
        <f t="shared" si="38"/>
        <v>2</v>
      </c>
      <c r="L624" s="83">
        <f t="shared" si="39"/>
        <v>13</v>
      </c>
    </row>
    <row r="625" spans="1:12" x14ac:dyDescent="0.25">
      <c r="A625" s="105">
        <v>44928.693749999999</v>
      </c>
      <c r="B625" s="107" t="s">
        <v>1590</v>
      </c>
      <c r="C625" s="99" t="s">
        <v>1569</v>
      </c>
      <c r="D625" s="99" t="s">
        <v>1570</v>
      </c>
      <c r="E625" s="93">
        <v>172</v>
      </c>
      <c r="F625" s="94" t="s">
        <v>1543</v>
      </c>
      <c r="G625" s="95" t="s">
        <v>278</v>
      </c>
      <c r="H625" s="94">
        <v>104081992</v>
      </c>
      <c r="I625" s="101">
        <f t="shared" si="36"/>
        <v>44928.693749999999</v>
      </c>
      <c r="J625" s="102">
        <f t="shared" si="37"/>
        <v>1</v>
      </c>
      <c r="K625" s="103">
        <f t="shared" si="38"/>
        <v>2</v>
      </c>
      <c r="L625" s="83">
        <f t="shared" si="39"/>
        <v>16</v>
      </c>
    </row>
    <row r="626" spans="1:12" x14ac:dyDescent="0.25">
      <c r="A626" s="105">
        <v>44928.465277777781</v>
      </c>
      <c r="B626" s="107" t="s">
        <v>1591</v>
      </c>
      <c r="C626" s="99" t="s">
        <v>1548</v>
      </c>
      <c r="D626" s="99" t="s">
        <v>1549</v>
      </c>
      <c r="E626" s="93">
        <v>31.92</v>
      </c>
      <c r="F626" s="94" t="s">
        <v>1543</v>
      </c>
      <c r="G626" s="95" t="s">
        <v>280</v>
      </c>
      <c r="H626" s="94">
        <v>104815203</v>
      </c>
      <c r="I626" s="101">
        <f t="shared" si="36"/>
        <v>44928.465277777781</v>
      </c>
      <c r="J626" s="102">
        <f t="shared" si="37"/>
        <v>1</v>
      </c>
      <c r="K626" s="103">
        <f t="shared" si="38"/>
        <v>2</v>
      </c>
      <c r="L626" s="83">
        <f t="shared" si="39"/>
        <v>11</v>
      </c>
    </row>
    <row r="627" spans="1:12" x14ac:dyDescent="0.25">
      <c r="A627" s="105">
        <v>44928.504861111112</v>
      </c>
      <c r="B627" s="107" t="s">
        <v>1592</v>
      </c>
      <c r="C627" s="99" t="s">
        <v>1559</v>
      </c>
      <c r="D627" s="99" t="s">
        <v>1560</v>
      </c>
      <c r="E627" s="93">
        <v>164.49</v>
      </c>
      <c r="F627" s="94" t="s">
        <v>1543</v>
      </c>
      <c r="G627" s="95" t="s">
        <v>282</v>
      </c>
      <c r="H627" s="94">
        <v>104919639</v>
      </c>
      <c r="I627" s="101">
        <f t="shared" si="36"/>
        <v>44928.504861111112</v>
      </c>
      <c r="J627" s="102">
        <f t="shared" si="37"/>
        <v>1</v>
      </c>
      <c r="K627" s="103">
        <f t="shared" si="38"/>
        <v>2</v>
      </c>
      <c r="L627" s="83">
        <f t="shared" si="39"/>
        <v>12</v>
      </c>
    </row>
    <row r="628" spans="1:12" x14ac:dyDescent="0.25">
      <c r="A628" s="105">
        <v>44928.47152777778</v>
      </c>
      <c r="B628" s="107" t="s">
        <v>1593</v>
      </c>
      <c r="C628" s="99" t="s">
        <v>1571</v>
      </c>
      <c r="D628" s="99" t="s">
        <v>1572</v>
      </c>
      <c r="E628" s="93">
        <v>109.25</v>
      </c>
      <c r="F628" s="94" t="s">
        <v>1543</v>
      </c>
      <c r="G628" s="95" t="s">
        <v>284</v>
      </c>
      <c r="H628" s="94">
        <v>102366719</v>
      </c>
      <c r="I628" s="101">
        <f t="shared" si="36"/>
        <v>44928.47152777778</v>
      </c>
      <c r="J628" s="102">
        <f t="shared" si="37"/>
        <v>1</v>
      </c>
      <c r="K628" s="103">
        <f t="shared" si="38"/>
        <v>2</v>
      </c>
      <c r="L628" s="83">
        <f t="shared" si="39"/>
        <v>11</v>
      </c>
    </row>
    <row r="629" spans="1:12" x14ac:dyDescent="0.25">
      <c r="A629" s="105">
        <v>44928.783333333333</v>
      </c>
      <c r="B629" s="107" t="s">
        <v>1594</v>
      </c>
      <c r="C629" s="99" t="s">
        <v>1550</v>
      </c>
      <c r="D629" s="99" t="s">
        <v>1551</v>
      </c>
      <c r="E629" s="93">
        <v>214</v>
      </c>
      <c r="F629" s="94" t="s">
        <v>1544</v>
      </c>
      <c r="G629" s="95" t="s">
        <v>287</v>
      </c>
      <c r="H629" s="94">
        <v>105260947</v>
      </c>
      <c r="I629" s="101">
        <f t="shared" si="36"/>
        <v>44928.783333333333</v>
      </c>
      <c r="J629" s="102">
        <f t="shared" si="37"/>
        <v>1</v>
      </c>
      <c r="K629" s="103">
        <f t="shared" si="38"/>
        <v>2</v>
      </c>
      <c r="L629" s="83">
        <f t="shared" si="39"/>
        <v>18</v>
      </c>
    </row>
    <row r="630" spans="1:12" x14ac:dyDescent="0.25">
      <c r="A630" s="105">
        <v>44928.705555555556</v>
      </c>
      <c r="B630" s="107" t="s">
        <v>1595</v>
      </c>
      <c r="C630" s="99" t="s">
        <v>1557</v>
      </c>
      <c r="D630" s="99" t="s">
        <v>1558</v>
      </c>
      <c r="E630" s="93">
        <v>104</v>
      </c>
      <c r="F630" s="94" t="s">
        <v>1543</v>
      </c>
      <c r="G630" s="95" t="s">
        <v>289</v>
      </c>
      <c r="H630" s="94">
        <v>104236236</v>
      </c>
      <c r="I630" s="101">
        <f t="shared" si="36"/>
        <v>44928.705555555556</v>
      </c>
      <c r="J630" s="102">
        <f t="shared" si="37"/>
        <v>1</v>
      </c>
      <c r="K630" s="103">
        <f t="shared" si="38"/>
        <v>2</v>
      </c>
      <c r="L630" s="83">
        <f t="shared" si="39"/>
        <v>16</v>
      </c>
    </row>
    <row r="631" spans="1:12" x14ac:dyDescent="0.25">
      <c r="A631" s="105">
        <v>44928.602083333331</v>
      </c>
      <c r="B631" s="107" t="s">
        <v>1597</v>
      </c>
      <c r="C631" s="99" t="s">
        <v>1555</v>
      </c>
      <c r="D631" s="99" t="s">
        <v>1556</v>
      </c>
      <c r="E631" s="93">
        <v>61</v>
      </c>
      <c r="F631" s="94" t="s">
        <v>1543</v>
      </c>
      <c r="G631" s="95" t="s">
        <v>291</v>
      </c>
      <c r="H631" s="94">
        <v>105022878</v>
      </c>
      <c r="I631" s="101">
        <f t="shared" si="36"/>
        <v>44928.602083333331</v>
      </c>
      <c r="J631" s="102">
        <f t="shared" si="37"/>
        <v>1</v>
      </c>
      <c r="K631" s="103">
        <f t="shared" si="38"/>
        <v>2</v>
      </c>
      <c r="L631" s="83">
        <f t="shared" si="39"/>
        <v>14</v>
      </c>
    </row>
    <row r="632" spans="1:12" x14ac:dyDescent="0.25">
      <c r="A632" s="105">
        <v>44928.713194444441</v>
      </c>
      <c r="B632" s="107" t="s">
        <v>1547</v>
      </c>
      <c r="C632" s="99" t="s">
        <v>1548</v>
      </c>
      <c r="D632" s="99" t="s">
        <v>1549</v>
      </c>
      <c r="E632" s="93">
        <v>190</v>
      </c>
      <c r="F632" s="94" t="s">
        <v>1544</v>
      </c>
      <c r="G632" s="95" t="s">
        <v>293</v>
      </c>
      <c r="H632" s="94">
        <v>103211936</v>
      </c>
      <c r="I632" s="101">
        <f t="shared" si="36"/>
        <v>44928.713194444441</v>
      </c>
      <c r="J632" s="102">
        <f t="shared" si="37"/>
        <v>1</v>
      </c>
      <c r="K632" s="103">
        <f t="shared" si="38"/>
        <v>2</v>
      </c>
      <c r="L632" s="83">
        <f t="shared" si="39"/>
        <v>17</v>
      </c>
    </row>
    <row r="633" spans="1:12" x14ac:dyDescent="0.25">
      <c r="A633" s="105">
        <v>44928.513888888891</v>
      </c>
      <c r="B633" s="107" t="s">
        <v>1554</v>
      </c>
      <c r="C633" s="99" t="s">
        <v>1550</v>
      </c>
      <c r="D633" s="99" t="s">
        <v>1551</v>
      </c>
      <c r="E633" s="93">
        <v>11.68</v>
      </c>
      <c r="F633" s="94" t="s">
        <v>1543</v>
      </c>
      <c r="G633" s="95" t="s">
        <v>295</v>
      </c>
      <c r="H633" s="94">
        <v>103848510</v>
      </c>
      <c r="I633" s="101">
        <f t="shared" si="36"/>
        <v>44928.513888888891</v>
      </c>
      <c r="J633" s="102">
        <f t="shared" si="37"/>
        <v>1</v>
      </c>
      <c r="K633" s="103">
        <f t="shared" si="38"/>
        <v>2</v>
      </c>
      <c r="L633" s="83">
        <f t="shared" si="39"/>
        <v>12</v>
      </c>
    </row>
    <row r="634" spans="1:12" x14ac:dyDescent="0.25">
      <c r="A634" s="105">
        <v>44928.724305555559</v>
      </c>
      <c r="B634" s="107" t="s">
        <v>1561</v>
      </c>
      <c r="C634" s="99" t="s">
        <v>1552</v>
      </c>
      <c r="D634" s="99" t="s">
        <v>1553</v>
      </c>
      <c r="E634" s="93">
        <v>25</v>
      </c>
      <c r="F634" s="94" t="s">
        <v>1543</v>
      </c>
      <c r="G634" s="95" t="s">
        <v>297</v>
      </c>
      <c r="H634" s="94">
        <v>104128299</v>
      </c>
      <c r="I634" s="101">
        <f t="shared" si="36"/>
        <v>44928.724305555559</v>
      </c>
      <c r="J634" s="102">
        <f t="shared" si="37"/>
        <v>1</v>
      </c>
      <c r="K634" s="103">
        <f t="shared" si="38"/>
        <v>2</v>
      </c>
      <c r="L634" s="83">
        <f t="shared" si="39"/>
        <v>17</v>
      </c>
    </row>
    <row r="635" spans="1:12" x14ac:dyDescent="0.25">
      <c r="A635" s="105">
        <v>44928.701388888891</v>
      </c>
      <c r="B635" s="107" t="s">
        <v>1568</v>
      </c>
      <c r="C635" s="99" t="s">
        <v>1555</v>
      </c>
      <c r="D635" s="99" t="s">
        <v>1556</v>
      </c>
      <c r="E635" s="93">
        <v>64</v>
      </c>
      <c r="F635" s="94" t="s">
        <v>1543</v>
      </c>
      <c r="G635" s="95" t="s">
        <v>299</v>
      </c>
      <c r="H635" s="94">
        <v>103592360</v>
      </c>
      <c r="I635" s="101">
        <f t="shared" si="36"/>
        <v>44928.701388888891</v>
      </c>
      <c r="J635" s="102">
        <f t="shared" si="37"/>
        <v>1</v>
      </c>
      <c r="K635" s="103">
        <f t="shared" si="38"/>
        <v>2</v>
      </c>
      <c r="L635" s="83">
        <f t="shared" si="39"/>
        <v>16</v>
      </c>
    </row>
    <row r="636" spans="1:12" x14ac:dyDescent="0.25">
      <c r="A636" s="105">
        <v>44928.647222222222</v>
      </c>
      <c r="B636" s="107" t="s">
        <v>1575</v>
      </c>
      <c r="C636" s="99" t="s">
        <v>1557</v>
      </c>
      <c r="D636" s="99" t="s">
        <v>1558</v>
      </c>
      <c r="E636" s="93">
        <v>15.62</v>
      </c>
      <c r="F636" s="94" t="s">
        <v>1543</v>
      </c>
      <c r="G636" s="95" t="s">
        <v>302</v>
      </c>
      <c r="H636" s="94">
        <v>105722955</v>
      </c>
      <c r="I636" s="101">
        <f t="shared" si="36"/>
        <v>44928.647222222222</v>
      </c>
      <c r="J636" s="102">
        <f t="shared" si="37"/>
        <v>1</v>
      </c>
      <c r="K636" s="103">
        <f t="shared" si="38"/>
        <v>2</v>
      </c>
      <c r="L636" s="83">
        <f t="shared" si="39"/>
        <v>15</v>
      </c>
    </row>
    <row r="637" spans="1:12" x14ac:dyDescent="0.25">
      <c r="A637" s="105">
        <v>44928.710416666669</v>
      </c>
      <c r="B637" s="107" t="s">
        <v>1582</v>
      </c>
      <c r="C637" s="99" t="s">
        <v>1559</v>
      </c>
      <c r="D637" s="99" t="s">
        <v>1560</v>
      </c>
      <c r="E637" s="93">
        <v>14.31</v>
      </c>
      <c r="F637" s="94" t="s">
        <v>1543</v>
      </c>
      <c r="G637" s="95" t="s">
        <v>304</v>
      </c>
      <c r="H637" s="94">
        <v>101693416</v>
      </c>
      <c r="I637" s="101">
        <f t="shared" si="36"/>
        <v>44928.710416666669</v>
      </c>
      <c r="J637" s="102">
        <f t="shared" si="37"/>
        <v>1</v>
      </c>
      <c r="K637" s="103">
        <f t="shared" si="38"/>
        <v>2</v>
      </c>
      <c r="L637" s="83">
        <f t="shared" si="39"/>
        <v>17</v>
      </c>
    </row>
    <row r="638" spans="1:12" x14ac:dyDescent="0.25">
      <c r="A638" s="105">
        <v>44928.677777777775</v>
      </c>
      <c r="B638" s="107" t="s">
        <v>1586</v>
      </c>
      <c r="C638" s="99" t="s">
        <v>1562</v>
      </c>
      <c r="D638" s="99" t="s">
        <v>1563</v>
      </c>
      <c r="E638" s="93">
        <v>71</v>
      </c>
      <c r="F638" s="94" t="s">
        <v>1545</v>
      </c>
      <c r="G638" s="95" t="s">
        <v>306</v>
      </c>
      <c r="H638" s="94">
        <v>104702106</v>
      </c>
      <c r="I638" s="101">
        <f t="shared" si="36"/>
        <v>44928.677777777775</v>
      </c>
      <c r="J638" s="102">
        <f t="shared" si="37"/>
        <v>1</v>
      </c>
      <c r="K638" s="103">
        <f t="shared" si="38"/>
        <v>2</v>
      </c>
      <c r="L638" s="83">
        <f t="shared" si="39"/>
        <v>16</v>
      </c>
    </row>
    <row r="639" spans="1:12" x14ac:dyDescent="0.25">
      <c r="A639" s="105">
        <v>44928.517361111109</v>
      </c>
      <c r="B639" s="107" t="s">
        <v>1589</v>
      </c>
      <c r="C639" s="99" t="s">
        <v>1564</v>
      </c>
      <c r="D639" s="99" t="s">
        <v>1565</v>
      </c>
      <c r="E639" s="93">
        <v>74.739999999999995</v>
      </c>
      <c r="F639" s="94" t="s">
        <v>1543</v>
      </c>
      <c r="G639" s="95" t="s">
        <v>308</v>
      </c>
      <c r="H639" s="94">
        <v>105633410</v>
      </c>
      <c r="I639" s="101">
        <f t="shared" si="36"/>
        <v>44928.517361111109</v>
      </c>
      <c r="J639" s="102">
        <f t="shared" si="37"/>
        <v>1</v>
      </c>
      <c r="K639" s="103">
        <f t="shared" si="38"/>
        <v>2</v>
      </c>
      <c r="L639" s="83">
        <f t="shared" si="39"/>
        <v>12</v>
      </c>
    </row>
    <row r="640" spans="1:12" x14ac:dyDescent="0.25">
      <c r="A640" s="105">
        <v>44928.779861111114</v>
      </c>
      <c r="B640" s="107" t="s">
        <v>1590</v>
      </c>
      <c r="C640" s="99" t="s">
        <v>1566</v>
      </c>
      <c r="D640" s="99" t="s">
        <v>1567</v>
      </c>
      <c r="E640" s="93">
        <v>243</v>
      </c>
      <c r="F640" s="94" t="s">
        <v>1543</v>
      </c>
      <c r="G640" s="95" t="s">
        <v>310</v>
      </c>
      <c r="H640" s="94">
        <v>104494890</v>
      </c>
      <c r="I640" s="101">
        <f t="shared" si="36"/>
        <v>44928.779861111114</v>
      </c>
      <c r="J640" s="102">
        <f t="shared" si="37"/>
        <v>1</v>
      </c>
      <c r="K640" s="103">
        <f t="shared" si="38"/>
        <v>2</v>
      </c>
      <c r="L640" s="83">
        <f t="shared" si="39"/>
        <v>18</v>
      </c>
    </row>
    <row r="641" spans="1:12" x14ac:dyDescent="0.25">
      <c r="A641" s="105">
        <v>44928.606249999997</v>
      </c>
      <c r="B641" s="107" t="s">
        <v>1591</v>
      </c>
      <c r="C641" s="99" t="s">
        <v>1569</v>
      </c>
      <c r="D641" s="99" t="s">
        <v>1570</v>
      </c>
      <c r="E641" s="93">
        <v>189</v>
      </c>
      <c r="F641" s="94" t="s">
        <v>1544</v>
      </c>
      <c r="G641" s="95" t="s">
        <v>312</v>
      </c>
      <c r="H641" s="94">
        <v>105279757</v>
      </c>
      <c r="I641" s="101">
        <f t="shared" si="36"/>
        <v>44928.606249999997</v>
      </c>
      <c r="J641" s="102">
        <f t="shared" si="37"/>
        <v>1</v>
      </c>
      <c r="K641" s="103">
        <f t="shared" si="38"/>
        <v>2</v>
      </c>
      <c r="L641" s="83">
        <f t="shared" si="39"/>
        <v>14</v>
      </c>
    </row>
    <row r="642" spans="1:12" x14ac:dyDescent="0.25">
      <c r="A642" s="105">
        <v>44928.62777777778</v>
      </c>
      <c r="B642" s="107" t="s">
        <v>1592</v>
      </c>
      <c r="C642" s="99" t="s">
        <v>1571</v>
      </c>
      <c r="D642" s="99" t="s">
        <v>1572</v>
      </c>
      <c r="E642" s="93">
        <v>80</v>
      </c>
      <c r="F642" s="94" t="s">
        <v>1543</v>
      </c>
      <c r="G642" s="95" t="s">
        <v>314</v>
      </c>
      <c r="H642" s="94">
        <v>104167177</v>
      </c>
      <c r="I642" s="101">
        <f t="shared" si="36"/>
        <v>44928.62777777778</v>
      </c>
      <c r="J642" s="102">
        <f t="shared" si="37"/>
        <v>1</v>
      </c>
      <c r="K642" s="103">
        <f t="shared" si="38"/>
        <v>2</v>
      </c>
      <c r="L642" s="83">
        <f t="shared" si="39"/>
        <v>15</v>
      </c>
    </row>
    <row r="643" spans="1:12" x14ac:dyDescent="0.25">
      <c r="A643" s="105">
        <v>44928.570138888892</v>
      </c>
      <c r="B643" s="107" t="s">
        <v>1593</v>
      </c>
      <c r="C643" s="99" t="s">
        <v>1573</v>
      </c>
      <c r="D643" s="99" t="s">
        <v>1574</v>
      </c>
      <c r="E643" s="93">
        <v>21</v>
      </c>
      <c r="F643" s="94" t="s">
        <v>1543</v>
      </c>
      <c r="G643" s="95" t="s">
        <v>316</v>
      </c>
      <c r="H643" s="94">
        <v>104965801</v>
      </c>
      <c r="I643" s="101">
        <f t="shared" ref="I643:I706" si="40">A643</f>
        <v>44928.570138888892</v>
      </c>
      <c r="J643" s="102">
        <f t="shared" ref="J643:J706" si="41">MONTH(A643)</f>
        <v>1</v>
      </c>
      <c r="K643" s="103">
        <f t="shared" ref="K643:K706" si="42">DAY(A643)</f>
        <v>2</v>
      </c>
      <c r="L643" s="83">
        <f t="shared" ref="L643:L706" si="43">HOUR(A643)</f>
        <v>13</v>
      </c>
    </row>
    <row r="644" spans="1:12" x14ac:dyDescent="0.25">
      <c r="A644" s="105">
        <v>44928.71597222222</v>
      </c>
      <c r="B644" s="107" t="s">
        <v>1594</v>
      </c>
      <c r="C644" s="99" t="s">
        <v>1576</v>
      </c>
      <c r="D644" s="99" t="s">
        <v>1577</v>
      </c>
      <c r="E644" s="93">
        <v>347.89</v>
      </c>
      <c r="F644" s="94" t="s">
        <v>1543</v>
      </c>
      <c r="G644" s="95" t="s">
        <v>318</v>
      </c>
      <c r="H644" s="94">
        <v>104688030</v>
      </c>
      <c r="I644" s="101">
        <f t="shared" si="40"/>
        <v>44928.71597222222</v>
      </c>
      <c r="J644" s="102">
        <f t="shared" si="41"/>
        <v>1</v>
      </c>
      <c r="K644" s="103">
        <f t="shared" si="42"/>
        <v>2</v>
      </c>
      <c r="L644" s="83">
        <f t="shared" si="43"/>
        <v>17</v>
      </c>
    </row>
    <row r="645" spans="1:12" x14ac:dyDescent="0.25">
      <c r="A645" s="105">
        <v>44928.782638888886</v>
      </c>
      <c r="B645" s="107" t="s">
        <v>1595</v>
      </c>
      <c r="C645" s="99" t="s">
        <v>1578</v>
      </c>
      <c r="D645" s="99" t="s">
        <v>1579</v>
      </c>
      <c r="E645" s="93">
        <v>33.96</v>
      </c>
      <c r="F645" s="94" t="s">
        <v>1543</v>
      </c>
      <c r="G645" s="95" t="s">
        <v>320</v>
      </c>
      <c r="H645" s="94">
        <v>105712906</v>
      </c>
      <c r="I645" s="101">
        <f t="shared" si="40"/>
        <v>44928.782638888886</v>
      </c>
      <c r="J645" s="102">
        <f t="shared" si="41"/>
        <v>1</v>
      </c>
      <c r="K645" s="103">
        <f t="shared" si="42"/>
        <v>2</v>
      </c>
      <c r="L645" s="83">
        <f t="shared" si="43"/>
        <v>18</v>
      </c>
    </row>
    <row r="646" spans="1:12" x14ac:dyDescent="0.25">
      <c r="A646" s="105">
        <v>44928.55972222222</v>
      </c>
      <c r="B646" s="107" t="s">
        <v>1597</v>
      </c>
      <c r="C646" s="99" t="s">
        <v>1580</v>
      </c>
      <c r="D646" s="99" t="s">
        <v>1581</v>
      </c>
      <c r="E646" s="93">
        <v>32.159999999999997</v>
      </c>
      <c r="F646" s="94" t="s">
        <v>1543</v>
      </c>
      <c r="G646" s="95" t="s">
        <v>322</v>
      </c>
      <c r="H646" s="94">
        <v>105670990</v>
      </c>
      <c r="I646" s="101">
        <f t="shared" si="40"/>
        <v>44928.55972222222</v>
      </c>
      <c r="J646" s="102">
        <f t="shared" si="41"/>
        <v>1</v>
      </c>
      <c r="K646" s="103">
        <f t="shared" si="42"/>
        <v>2</v>
      </c>
      <c r="L646" s="83">
        <f t="shared" si="43"/>
        <v>13</v>
      </c>
    </row>
    <row r="647" spans="1:12" x14ac:dyDescent="0.25">
      <c r="A647" s="105">
        <v>44928.59652777778</v>
      </c>
      <c r="B647" s="107" t="s">
        <v>1547</v>
      </c>
      <c r="C647" s="99" t="s">
        <v>1548</v>
      </c>
      <c r="D647" s="99" t="s">
        <v>1549</v>
      </c>
      <c r="E647" s="93">
        <v>10</v>
      </c>
      <c r="F647" s="94" t="s">
        <v>1543</v>
      </c>
      <c r="G647" s="95" t="s">
        <v>324</v>
      </c>
      <c r="H647" s="94">
        <v>105057101</v>
      </c>
      <c r="I647" s="101">
        <f t="shared" si="40"/>
        <v>44928.59652777778</v>
      </c>
      <c r="J647" s="102">
        <f t="shared" si="41"/>
        <v>1</v>
      </c>
      <c r="K647" s="103">
        <f t="shared" si="42"/>
        <v>2</v>
      </c>
      <c r="L647" s="83">
        <f t="shared" si="43"/>
        <v>14</v>
      </c>
    </row>
    <row r="648" spans="1:12" x14ac:dyDescent="0.25">
      <c r="A648" s="105">
        <v>44928.640972222223</v>
      </c>
      <c r="B648" s="107" t="s">
        <v>1554</v>
      </c>
      <c r="C648" s="99" t="s">
        <v>1583</v>
      </c>
      <c r="D648" s="99" t="s">
        <v>1574</v>
      </c>
      <c r="E648" s="93">
        <v>44</v>
      </c>
      <c r="F648" s="94" t="s">
        <v>1543</v>
      </c>
      <c r="G648" s="95" t="s">
        <v>326</v>
      </c>
      <c r="H648" s="94">
        <v>105516522</v>
      </c>
      <c r="I648" s="101">
        <f t="shared" si="40"/>
        <v>44928.640972222223</v>
      </c>
      <c r="J648" s="102">
        <f t="shared" si="41"/>
        <v>1</v>
      </c>
      <c r="K648" s="103">
        <f t="shared" si="42"/>
        <v>2</v>
      </c>
      <c r="L648" s="83">
        <f t="shared" si="43"/>
        <v>15</v>
      </c>
    </row>
    <row r="649" spans="1:12" x14ac:dyDescent="0.25">
      <c r="A649" s="105">
        <v>44928.441666666666</v>
      </c>
      <c r="B649" s="107" t="s">
        <v>1561</v>
      </c>
      <c r="C649" s="99" t="s">
        <v>1584</v>
      </c>
      <c r="D649" s="99" t="s">
        <v>1585</v>
      </c>
      <c r="E649" s="93">
        <v>59.81</v>
      </c>
      <c r="F649" s="94" t="s">
        <v>1543</v>
      </c>
      <c r="G649" s="95" t="s">
        <v>328</v>
      </c>
      <c r="H649" s="94">
        <v>103453189</v>
      </c>
      <c r="I649" s="101">
        <f t="shared" si="40"/>
        <v>44928.441666666666</v>
      </c>
      <c r="J649" s="102">
        <f t="shared" si="41"/>
        <v>1</v>
      </c>
      <c r="K649" s="103">
        <f t="shared" si="42"/>
        <v>2</v>
      </c>
      <c r="L649" s="83">
        <f t="shared" si="43"/>
        <v>10</v>
      </c>
    </row>
    <row r="650" spans="1:12" x14ac:dyDescent="0.25">
      <c r="A650" s="105">
        <v>44928.671527777777</v>
      </c>
      <c r="B650" s="107" t="s">
        <v>1568</v>
      </c>
      <c r="C650" s="99" t="s">
        <v>1557</v>
      </c>
      <c r="D650" s="99" t="s">
        <v>1558</v>
      </c>
      <c r="E650" s="93">
        <v>31.33</v>
      </c>
      <c r="F650" s="94" t="s">
        <v>1543</v>
      </c>
      <c r="G650" s="95" t="s">
        <v>331</v>
      </c>
      <c r="H650" s="94">
        <v>104600823</v>
      </c>
      <c r="I650" s="101">
        <f t="shared" si="40"/>
        <v>44928.671527777777</v>
      </c>
      <c r="J650" s="102">
        <f t="shared" si="41"/>
        <v>1</v>
      </c>
      <c r="K650" s="103">
        <f t="shared" si="42"/>
        <v>2</v>
      </c>
      <c r="L650" s="83">
        <f t="shared" si="43"/>
        <v>16</v>
      </c>
    </row>
    <row r="651" spans="1:12" x14ac:dyDescent="0.25">
      <c r="A651" s="105">
        <v>44928.455555555556</v>
      </c>
      <c r="B651" s="107" t="s">
        <v>1575</v>
      </c>
      <c r="C651" s="99" t="s">
        <v>1587</v>
      </c>
      <c r="D651" s="99" t="s">
        <v>1588</v>
      </c>
      <c r="E651" s="93">
        <v>10</v>
      </c>
      <c r="F651" s="94" t="s">
        <v>1543</v>
      </c>
      <c r="G651" s="95" t="s">
        <v>333</v>
      </c>
      <c r="H651" s="94">
        <v>103756765</v>
      </c>
      <c r="I651" s="101">
        <f t="shared" si="40"/>
        <v>44928.455555555556</v>
      </c>
      <c r="J651" s="102">
        <f t="shared" si="41"/>
        <v>1</v>
      </c>
      <c r="K651" s="103">
        <f t="shared" si="42"/>
        <v>2</v>
      </c>
      <c r="L651" s="83">
        <f t="shared" si="43"/>
        <v>10</v>
      </c>
    </row>
    <row r="652" spans="1:12" x14ac:dyDescent="0.25">
      <c r="A652" s="105">
        <v>44928.713888888888</v>
      </c>
      <c r="B652" s="107" t="s">
        <v>1582</v>
      </c>
      <c r="C652" s="99" t="s">
        <v>1564</v>
      </c>
      <c r="D652" s="99" t="s">
        <v>1565</v>
      </c>
      <c r="E652" s="93">
        <v>168.74</v>
      </c>
      <c r="F652" s="94" t="s">
        <v>1543</v>
      </c>
      <c r="G652" s="95" t="s">
        <v>335</v>
      </c>
      <c r="H652" s="94">
        <v>104068365</v>
      </c>
      <c r="I652" s="101">
        <f t="shared" si="40"/>
        <v>44928.713888888888</v>
      </c>
      <c r="J652" s="102">
        <f t="shared" si="41"/>
        <v>1</v>
      </c>
      <c r="K652" s="103">
        <f t="shared" si="42"/>
        <v>2</v>
      </c>
      <c r="L652" s="83">
        <f t="shared" si="43"/>
        <v>17</v>
      </c>
    </row>
    <row r="653" spans="1:12" x14ac:dyDescent="0.25">
      <c r="A653" s="105">
        <v>44928.506944444445</v>
      </c>
      <c r="B653" s="107" t="s">
        <v>1586</v>
      </c>
      <c r="C653" s="99" t="s">
        <v>1548</v>
      </c>
      <c r="D653" s="99" t="s">
        <v>1549</v>
      </c>
      <c r="E653" s="93">
        <v>19.54</v>
      </c>
      <c r="F653" s="94" t="s">
        <v>1543</v>
      </c>
      <c r="G653" s="95" t="s">
        <v>337</v>
      </c>
      <c r="H653" s="94">
        <v>102601331</v>
      </c>
      <c r="I653" s="101">
        <f t="shared" si="40"/>
        <v>44928.506944444445</v>
      </c>
      <c r="J653" s="102">
        <f t="shared" si="41"/>
        <v>1</v>
      </c>
      <c r="K653" s="103">
        <f t="shared" si="42"/>
        <v>2</v>
      </c>
      <c r="L653" s="83">
        <f t="shared" si="43"/>
        <v>12</v>
      </c>
    </row>
    <row r="654" spans="1:12" x14ac:dyDescent="0.25">
      <c r="A654" s="105">
        <v>44928.449305555558</v>
      </c>
      <c r="B654" s="107" t="s">
        <v>1589</v>
      </c>
      <c r="C654" s="99" t="s">
        <v>1550</v>
      </c>
      <c r="D654" s="99" t="s">
        <v>1551</v>
      </c>
      <c r="E654" s="93">
        <v>29</v>
      </c>
      <c r="F654" s="94" t="s">
        <v>1543</v>
      </c>
      <c r="G654" s="95" t="s">
        <v>339</v>
      </c>
      <c r="H654" s="94">
        <v>105345288</v>
      </c>
      <c r="I654" s="101">
        <f t="shared" si="40"/>
        <v>44928.449305555558</v>
      </c>
      <c r="J654" s="102">
        <f t="shared" si="41"/>
        <v>1</v>
      </c>
      <c r="K654" s="103">
        <f t="shared" si="42"/>
        <v>2</v>
      </c>
      <c r="L654" s="83">
        <f t="shared" si="43"/>
        <v>10</v>
      </c>
    </row>
    <row r="655" spans="1:12" x14ac:dyDescent="0.25">
      <c r="A655" s="105">
        <v>44928.637499999997</v>
      </c>
      <c r="B655" s="107" t="s">
        <v>1590</v>
      </c>
      <c r="C655" s="99" t="s">
        <v>1562</v>
      </c>
      <c r="D655" s="99" t="s">
        <v>1563</v>
      </c>
      <c r="E655" s="93">
        <v>151</v>
      </c>
      <c r="F655" s="94" t="s">
        <v>1543</v>
      </c>
      <c r="G655" s="95" t="s">
        <v>341</v>
      </c>
      <c r="H655" s="94">
        <v>105077442</v>
      </c>
      <c r="I655" s="101">
        <f t="shared" si="40"/>
        <v>44928.637499999997</v>
      </c>
      <c r="J655" s="102">
        <f t="shared" si="41"/>
        <v>1</v>
      </c>
      <c r="K655" s="103">
        <f t="shared" si="42"/>
        <v>2</v>
      </c>
      <c r="L655" s="83">
        <f t="shared" si="43"/>
        <v>15</v>
      </c>
    </row>
    <row r="656" spans="1:12" x14ac:dyDescent="0.25">
      <c r="A656" s="105">
        <v>44928.760416666664</v>
      </c>
      <c r="B656" s="107" t="s">
        <v>1591</v>
      </c>
      <c r="C656" s="99" t="s">
        <v>1552</v>
      </c>
      <c r="D656" s="99" t="s">
        <v>1553</v>
      </c>
      <c r="E656" s="93">
        <v>190.95</v>
      </c>
      <c r="F656" s="94" t="s">
        <v>1543</v>
      </c>
      <c r="G656" s="95" t="s">
        <v>343</v>
      </c>
      <c r="H656" s="94">
        <v>102261839</v>
      </c>
      <c r="I656" s="101">
        <f t="shared" si="40"/>
        <v>44928.760416666664</v>
      </c>
      <c r="J656" s="102">
        <f t="shared" si="41"/>
        <v>1</v>
      </c>
      <c r="K656" s="103">
        <f t="shared" si="42"/>
        <v>2</v>
      </c>
      <c r="L656" s="83">
        <f t="shared" si="43"/>
        <v>18</v>
      </c>
    </row>
    <row r="657" spans="1:12" x14ac:dyDescent="0.25">
      <c r="A657" s="105">
        <v>44928.668749999997</v>
      </c>
      <c r="B657" s="107" t="s">
        <v>1592</v>
      </c>
      <c r="C657" s="99" t="s">
        <v>1555</v>
      </c>
      <c r="D657" s="99" t="s">
        <v>1556</v>
      </c>
      <c r="E657" s="93">
        <v>158.30000000000001</v>
      </c>
      <c r="F657" s="94" t="s">
        <v>1543</v>
      </c>
      <c r="G657" s="95" t="s">
        <v>345</v>
      </c>
      <c r="H657" s="94">
        <v>104851559</v>
      </c>
      <c r="I657" s="101">
        <f t="shared" si="40"/>
        <v>44928.668749999997</v>
      </c>
      <c r="J657" s="102">
        <f t="shared" si="41"/>
        <v>1</v>
      </c>
      <c r="K657" s="103">
        <f t="shared" si="42"/>
        <v>2</v>
      </c>
      <c r="L657" s="83">
        <f t="shared" si="43"/>
        <v>16</v>
      </c>
    </row>
    <row r="658" spans="1:12" x14ac:dyDescent="0.25">
      <c r="A658" s="105">
        <v>44928.434027777781</v>
      </c>
      <c r="B658" s="107" t="s">
        <v>1593</v>
      </c>
      <c r="C658" s="99" t="s">
        <v>1559</v>
      </c>
      <c r="D658" s="99" t="s">
        <v>1560</v>
      </c>
      <c r="E658" s="93">
        <v>50</v>
      </c>
      <c r="F658" s="94" t="s">
        <v>1544</v>
      </c>
      <c r="G658" s="95" t="s">
        <v>347</v>
      </c>
      <c r="H658" s="94">
        <v>103828210</v>
      </c>
      <c r="I658" s="101">
        <f t="shared" si="40"/>
        <v>44928.434027777781</v>
      </c>
      <c r="J658" s="102">
        <f t="shared" si="41"/>
        <v>1</v>
      </c>
      <c r="K658" s="103">
        <f t="shared" si="42"/>
        <v>2</v>
      </c>
      <c r="L658" s="83">
        <f t="shared" si="43"/>
        <v>10</v>
      </c>
    </row>
    <row r="659" spans="1:12" x14ac:dyDescent="0.25">
      <c r="A659" s="105">
        <v>44928.432638888888</v>
      </c>
      <c r="B659" s="107" t="s">
        <v>1594</v>
      </c>
      <c r="C659" s="99" t="s">
        <v>1548</v>
      </c>
      <c r="D659" s="99" t="s">
        <v>1549</v>
      </c>
      <c r="E659" s="93">
        <v>375</v>
      </c>
      <c r="F659" s="94" t="s">
        <v>1543</v>
      </c>
      <c r="G659" s="95" t="s">
        <v>349</v>
      </c>
      <c r="H659" s="94">
        <v>103138410</v>
      </c>
      <c r="I659" s="101">
        <f t="shared" si="40"/>
        <v>44928.432638888888</v>
      </c>
      <c r="J659" s="102">
        <f t="shared" si="41"/>
        <v>1</v>
      </c>
      <c r="K659" s="103">
        <f t="shared" si="42"/>
        <v>2</v>
      </c>
      <c r="L659" s="83">
        <f t="shared" si="43"/>
        <v>10</v>
      </c>
    </row>
    <row r="660" spans="1:12" x14ac:dyDescent="0.25">
      <c r="A660" s="105">
        <v>44928.482638888891</v>
      </c>
      <c r="B660" s="107" t="s">
        <v>1595</v>
      </c>
      <c r="C660" s="99" t="s">
        <v>1566</v>
      </c>
      <c r="D660" s="99" t="s">
        <v>1567</v>
      </c>
      <c r="E660" s="93">
        <v>50</v>
      </c>
      <c r="F660" s="94" t="s">
        <v>1543</v>
      </c>
      <c r="G660" s="95" t="s">
        <v>352</v>
      </c>
      <c r="H660" s="94">
        <v>103979658</v>
      </c>
      <c r="I660" s="101">
        <f t="shared" si="40"/>
        <v>44928.482638888891</v>
      </c>
      <c r="J660" s="102">
        <f t="shared" si="41"/>
        <v>1</v>
      </c>
      <c r="K660" s="103">
        <f t="shared" si="42"/>
        <v>2</v>
      </c>
      <c r="L660" s="83">
        <f t="shared" si="43"/>
        <v>11</v>
      </c>
    </row>
    <row r="661" spans="1:12" x14ac:dyDescent="0.25">
      <c r="A661" s="105">
        <v>44928.557638888888</v>
      </c>
      <c r="B661" s="107" t="s">
        <v>1597</v>
      </c>
      <c r="C661" s="99" t="s">
        <v>1564</v>
      </c>
      <c r="D661" s="99" t="s">
        <v>1565</v>
      </c>
      <c r="E661" s="93">
        <v>223</v>
      </c>
      <c r="F661" s="94" t="s">
        <v>1543</v>
      </c>
      <c r="G661" s="95" t="s">
        <v>354</v>
      </c>
      <c r="H661" s="94">
        <v>104946270</v>
      </c>
      <c r="I661" s="101">
        <f t="shared" si="40"/>
        <v>44928.557638888888</v>
      </c>
      <c r="J661" s="102">
        <f t="shared" si="41"/>
        <v>1</v>
      </c>
      <c r="K661" s="103">
        <f t="shared" si="42"/>
        <v>2</v>
      </c>
      <c r="L661" s="83">
        <f t="shared" si="43"/>
        <v>13</v>
      </c>
    </row>
    <row r="662" spans="1:12" x14ac:dyDescent="0.25">
      <c r="A662" s="105">
        <v>44928.681250000001</v>
      </c>
      <c r="B662" s="107" t="s">
        <v>1547</v>
      </c>
      <c r="C662" s="99" t="s">
        <v>1548</v>
      </c>
      <c r="D662" s="99" t="s">
        <v>1549</v>
      </c>
      <c r="E662" s="93">
        <v>72</v>
      </c>
      <c r="F662" s="94" t="s">
        <v>1543</v>
      </c>
      <c r="G662" s="95" t="s">
        <v>356</v>
      </c>
      <c r="H662" s="94">
        <v>105471271</v>
      </c>
      <c r="I662" s="101">
        <f t="shared" si="40"/>
        <v>44928.681250000001</v>
      </c>
      <c r="J662" s="102">
        <f t="shared" si="41"/>
        <v>1</v>
      </c>
      <c r="K662" s="103">
        <f t="shared" si="42"/>
        <v>2</v>
      </c>
      <c r="L662" s="83">
        <f t="shared" si="43"/>
        <v>16</v>
      </c>
    </row>
    <row r="663" spans="1:12" x14ac:dyDescent="0.25">
      <c r="A663" s="105">
        <v>44928.702777777777</v>
      </c>
      <c r="B663" s="107" t="s">
        <v>1554</v>
      </c>
      <c r="C663" s="99" t="s">
        <v>1550</v>
      </c>
      <c r="D663" s="99" t="s">
        <v>1551</v>
      </c>
      <c r="E663" s="93">
        <v>67</v>
      </c>
      <c r="F663" s="94" t="s">
        <v>1543</v>
      </c>
      <c r="G663" s="95" t="s">
        <v>358</v>
      </c>
      <c r="H663" s="94">
        <v>104316126</v>
      </c>
      <c r="I663" s="101">
        <f t="shared" si="40"/>
        <v>44928.702777777777</v>
      </c>
      <c r="J663" s="102">
        <f t="shared" si="41"/>
        <v>1</v>
      </c>
      <c r="K663" s="103">
        <f t="shared" si="42"/>
        <v>2</v>
      </c>
      <c r="L663" s="83">
        <f t="shared" si="43"/>
        <v>16</v>
      </c>
    </row>
    <row r="664" spans="1:12" x14ac:dyDescent="0.25">
      <c r="A664" s="105">
        <v>44928.763194444444</v>
      </c>
      <c r="B664" s="107" t="s">
        <v>1561</v>
      </c>
      <c r="C664" s="99" t="s">
        <v>1557</v>
      </c>
      <c r="D664" s="99" t="s">
        <v>1558</v>
      </c>
      <c r="E664" s="93">
        <v>78.180000000000007</v>
      </c>
      <c r="F664" s="94" t="s">
        <v>1543</v>
      </c>
      <c r="G664" s="95" t="s">
        <v>360</v>
      </c>
      <c r="H664" s="94">
        <v>105490126</v>
      </c>
      <c r="I664" s="101">
        <f t="shared" si="40"/>
        <v>44928.763194444444</v>
      </c>
      <c r="J664" s="102">
        <f t="shared" si="41"/>
        <v>1</v>
      </c>
      <c r="K664" s="103">
        <f t="shared" si="42"/>
        <v>2</v>
      </c>
      <c r="L664" s="83">
        <f t="shared" si="43"/>
        <v>18</v>
      </c>
    </row>
    <row r="665" spans="1:12" x14ac:dyDescent="0.25">
      <c r="A665" s="105">
        <v>44928.730555555558</v>
      </c>
      <c r="B665" s="107" t="s">
        <v>1568</v>
      </c>
      <c r="C665" s="99" t="s">
        <v>1562</v>
      </c>
      <c r="D665" s="99" t="s">
        <v>1563</v>
      </c>
      <c r="E665" s="93">
        <v>100</v>
      </c>
      <c r="F665" s="94" t="s">
        <v>1543</v>
      </c>
      <c r="G665" s="95" t="s">
        <v>362</v>
      </c>
      <c r="H665" s="94">
        <v>103836545</v>
      </c>
      <c r="I665" s="101">
        <f t="shared" si="40"/>
        <v>44928.730555555558</v>
      </c>
      <c r="J665" s="102">
        <f t="shared" si="41"/>
        <v>1</v>
      </c>
      <c r="K665" s="103">
        <f t="shared" si="42"/>
        <v>2</v>
      </c>
      <c r="L665" s="83">
        <f t="shared" si="43"/>
        <v>17</v>
      </c>
    </row>
    <row r="666" spans="1:12" x14ac:dyDescent="0.25">
      <c r="A666" s="105">
        <v>44928.595833333333</v>
      </c>
      <c r="B666" s="107" t="s">
        <v>1575</v>
      </c>
      <c r="C666" s="99" t="s">
        <v>1576</v>
      </c>
      <c r="D666" s="99" t="s">
        <v>1577</v>
      </c>
      <c r="E666" s="93">
        <v>15</v>
      </c>
      <c r="F666" s="94" t="s">
        <v>1544</v>
      </c>
      <c r="G666" s="95" t="s">
        <v>364</v>
      </c>
      <c r="H666" s="94">
        <v>105057101</v>
      </c>
      <c r="I666" s="101">
        <f t="shared" si="40"/>
        <v>44928.595833333333</v>
      </c>
      <c r="J666" s="102">
        <f t="shared" si="41"/>
        <v>1</v>
      </c>
      <c r="K666" s="103">
        <f t="shared" si="42"/>
        <v>2</v>
      </c>
      <c r="L666" s="83">
        <f t="shared" si="43"/>
        <v>14</v>
      </c>
    </row>
    <row r="667" spans="1:12" x14ac:dyDescent="0.25">
      <c r="A667" s="105">
        <v>44928.515972222223</v>
      </c>
      <c r="B667" s="107" t="s">
        <v>1582</v>
      </c>
      <c r="C667" s="99" t="s">
        <v>1569</v>
      </c>
      <c r="D667" s="99" t="s">
        <v>1570</v>
      </c>
      <c r="E667" s="93">
        <v>73.14</v>
      </c>
      <c r="F667" s="94" t="s">
        <v>1543</v>
      </c>
      <c r="G667" s="95" t="s">
        <v>366</v>
      </c>
      <c r="H667" s="94">
        <v>101127863</v>
      </c>
      <c r="I667" s="101">
        <f t="shared" si="40"/>
        <v>44928.515972222223</v>
      </c>
      <c r="J667" s="102">
        <f t="shared" si="41"/>
        <v>1</v>
      </c>
      <c r="K667" s="103">
        <f t="shared" si="42"/>
        <v>2</v>
      </c>
      <c r="L667" s="83">
        <f t="shared" si="43"/>
        <v>12</v>
      </c>
    </row>
    <row r="668" spans="1:12" x14ac:dyDescent="0.25">
      <c r="A668" s="105">
        <v>44928.724999999999</v>
      </c>
      <c r="B668" s="107" t="s">
        <v>1586</v>
      </c>
      <c r="C668" s="99" t="s">
        <v>1548</v>
      </c>
      <c r="D668" s="99" t="s">
        <v>1549</v>
      </c>
      <c r="E668" s="93">
        <v>50.18</v>
      </c>
      <c r="F668" s="94" t="s">
        <v>1543</v>
      </c>
      <c r="G668" s="95" t="s">
        <v>368</v>
      </c>
      <c r="H668" s="94">
        <v>104693348</v>
      </c>
      <c r="I668" s="101">
        <f t="shared" si="40"/>
        <v>44928.724999999999</v>
      </c>
      <c r="J668" s="102">
        <f t="shared" si="41"/>
        <v>1</v>
      </c>
      <c r="K668" s="103">
        <f t="shared" si="42"/>
        <v>2</v>
      </c>
      <c r="L668" s="83">
        <f t="shared" si="43"/>
        <v>17</v>
      </c>
    </row>
    <row r="669" spans="1:12" x14ac:dyDescent="0.25">
      <c r="A669" s="105">
        <v>44928.695138888892</v>
      </c>
      <c r="B669" s="107" t="s">
        <v>1589</v>
      </c>
      <c r="C669" s="99" t="s">
        <v>1559</v>
      </c>
      <c r="D669" s="99" t="s">
        <v>1560</v>
      </c>
      <c r="E669" s="93">
        <v>144</v>
      </c>
      <c r="F669" s="94" t="s">
        <v>1543</v>
      </c>
      <c r="G669" s="95" t="s">
        <v>370</v>
      </c>
      <c r="H669" s="94">
        <v>104759099</v>
      </c>
      <c r="I669" s="101">
        <f t="shared" si="40"/>
        <v>44928.695138888892</v>
      </c>
      <c r="J669" s="102">
        <f t="shared" si="41"/>
        <v>1</v>
      </c>
      <c r="K669" s="103">
        <f t="shared" si="42"/>
        <v>2</v>
      </c>
      <c r="L669" s="83">
        <f t="shared" si="43"/>
        <v>16</v>
      </c>
    </row>
    <row r="670" spans="1:12" x14ac:dyDescent="0.25">
      <c r="A670" s="105">
        <v>44928.704861111109</v>
      </c>
      <c r="B670" s="107" t="s">
        <v>1590</v>
      </c>
      <c r="C670" s="99" t="s">
        <v>1571</v>
      </c>
      <c r="D670" s="99" t="s">
        <v>1572</v>
      </c>
      <c r="E670" s="93">
        <v>5</v>
      </c>
      <c r="F670" s="94" t="s">
        <v>1544</v>
      </c>
      <c r="G670" s="95" t="s">
        <v>372</v>
      </c>
      <c r="H670" s="94">
        <v>103476344</v>
      </c>
      <c r="I670" s="101">
        <f t="shared" si="40"/>
        <v>44928.704861111109</v>
      </c>
      <c r="J670" s="102">
        <f t="shared" si="41"/>
        <v>1</v>
      </c>
      <c r="K670" s="103">
        <f t="shared" si="42"/>
        <v>2</v>
      </c>
      <c r="L670" s="83">
        <f t="shared" si="43"/>
        <v>16</v>
      </c>
    </row>
    <row r="671" spans="1:12" x14ac:dyDescent="0.25">
      <c r="A671" s="105">
        <v>44928.578472222223</v>
      </c>
      <c r="B671" s="107" t="s">
        <v>1591</v>
      </c>
      <c r="C671" s="99" t="s">
        <v>1550</v>
      </c>
      <c r="D671" s="99" t="s">
        <v>1551</v>
      </c>
      <c r="E671" s="93">
        <v>100</v>
      </c>
      <c r="F671" s="94" t="s">
        <v>1543</v>
      </c>
      <c r="G671" s="95" t="s">
        <v>374</v>
      </c>
      <c r="H671" s="94">
        <v>104432906</v>
      </c>
      <c r="I671" s="101">
        <f t="shared" si="40"/>
        <v>44928.578472222223</v>
      </c>
      <c r="J671" s="102">
        <f t="shared" si="41"/>
        <v>1</v>
      </c>
      <c r="K671" s="103">
        <f t="shared" si="42"/>
        <v>2</v>
      </c>
      <c r="L671" s="83">
        <f t="shared" si="43"/>
        <v>13</v>
      </c>
    </row>
    <row r="672" spans="1:12" x14ac:dyDescent="0.25">
      <c r="A672" s="105">
        <v>44928.605555555558</v>
      </c>
      <c r="B672" s="107" t="s">
        <v>1592</v>
      </c>
      <c r="C672" s="99" t="s">
        <v>1557</v>
      </c>
      <c r="D672" s="99" t="s">
        <v>1558</v>
      </c>
      <c r="E672" s="93">
        <v>20.95</v>
      </c>
      <c r="F672" s="94" t="s">
        <v>1543</v>
      </c>
      <c r="G672" s="95" t="s">
        <v>376</v>
      </c>
      <c r="H672" s="94">
        <v>104580372</v>
      </c>
      <c r="I672" s="101">
        <f t="shared" si="40"/>
        <v>44928.605555555558</v>
      </c>
      <c r="J672" s="102">
        <f t="shared" si="41"/>
        <v>1</v>
      </c>
      <c r="K672" s="103">
        <f t="shared" si="42"/>
        <v>2</v>
      </c>
      <c r="L672" s="83">
        <f t="shared" si="43"/>
        <v>14</v>
      </c>
    </row>
    <row r="673" spans="1:12" x14ac:dyDescent="0.25">
      <c r="A673" s="105">
        <v>44928.699305555558</v>
      </c>
      <c r="B673" s="107" t="s">
        <v>1593</v>
      </c>
      <c r="C673" s="99" t="s">
        <v>1555</v>
      </c>
      <c r="D673" s="99" t="s">
        <v>1556</v>
      </c>
      <c r="E673" s="93">
        <v>336</v>
      </c>
      <c r="F673" s="94" t="s">
        <v>1544</v>
      </c>
      <c r="G673" s="95" t="s">
        <v>378</v>
      </c>
      <c r="H673" s="94">
        <v>105272642</v>
      </c>
      <c r="I673" s="101">
        <f t="shared" si="40"/>
        <v>44928.699305555558</v>
      </c>
      <c r="J673" s="102">
        <f t="shared" si="41"/>
        <v>1</v>
      </c>
      <c r="K673" s="103">
        <f t="shared" si="42"/>
        <v>2</v>
      </c>
      <c r="L673" s="83">
        <f t="shared" si="43"/>
        <v>16</v>
      </c>
    </row>
    <row r="674" spans="1:12" x14ac:dyDescent="0.25">
      <c r="A674" s="105">
        <v>44928.538194444445</v>
      </c>
      <c r="B674" s="107" t="s">
        <v>1594</v>
      </c>
      <c r="C674" s="99" t="s">
        <v>1548</v>
      </c>
      <c r="D674" s="99" t="s">
        <v>1549</v>
      </c>
      <c r="E674" s="93">
        <v>40</v>
      </c>
      <c r="F674" s="94" t="s">
        <v>1544</v>
      </c>
      <c r="G674" s="95" t="s">
        <v>381</v>
      </c>
      <c r="H674" s="94">
        <v>104038492</v>
      </c>
      <c r="I674" s="101">
        <f t="shared" si="40"/>
        <v>44928.538194444445</v>
      </c>
      <c r="J674" s="102">
        <f t="shared" si="41"/>
        <v>1</v>
      </c>
      <c r="K674" s="103">
        <f t="shared" si="42"/>
        <v>2</v>
      </c>
      <c r="L674" s="83">
        <f t="shared" si="43"/>
        <v>12</v>
      </c>
    </row>
    <row r="675" spans="1:12" x14ac:dyDescent="0.25">
      <c r="A675" s="105">
        <v>44928.511805555558</v>
      </c>
      <c r="B675" s="107" t="s">
        <v>1595</v>
      </c>
      <c r="C675" s="99" t="s">
        <v>1550</v>
      </c>
      <c r="D675" s="99" t="s">
        <v>1551</v>
      </c>
      <c r="E675" s="93">
        <v>20</v>
      </c>
      <c r="F675" s="94" t="s">
        <v>1544</v>
      </c>
      <c r="G675" s="95" t="s">
        <v>383</v>
      </c>
      <c r="H675" s="94">
        <v>104616991</v>
      </c>
      <c r="I675" s="101">
        <f t="shared" si="40"/>
        <v>44928.511805555558</v>
      </c>
      <c r="J675" s="102">
        <f t="shared" si="41"/>
        <v>1</v>
      </c>
      <c r="K675" s="103">
        <f t="shared" si="42"/>
        <v>2</v>
      </c>
      <c r="L675" s="83">
        <f t="shared" si="43"/>
        <v>12</v>
      </c>
    </row>
    <row r="676" spans="1:12" x14ac:dyDescent="0.25">
      <c r="A676" s="105">
        <v>44928.663194444445</v>
      </c>
      <c r="B676" s="107" t="s">
        <v>1597</v>
      </c>
      <c r="C676" s="99" t="s">
        <v>1552</v>
      </c>
      <c r="D676" s="99" t="s">
        <v>1553</v>
      </c>
      <c r="E676" s="93">
        <v>45</v>
      </c>
      <c r="F676" s="94" t="s">
        <v>1543</v>
      </c>
      <c r="G676" s="95" t="s">
        <v>385</v>
      </c>
      <c r="H676" s="94">
        <v>104600823</v>
      </c>
      <c r="I676" s="101">
        <f t="shared" si="40"/>
        <v>44928.663194444445</v>
      </c>
      <c r="J676" s="102">
        <f t="shared" si="41"/>
        <v>1</v>
      </c>
      <c r="K676" s="103">
        <f t="shared" si="42"/>
        <v>2</v>
      </c>
      <c r="L676" s="83">
        <f t="shared" si="43"/>
        <v>15</v>
      </c>
    </row>
    <row r="677" spans="1:12" x14ac:dyDescent="0.25">
      <c r="A677" s="105">
        <v>44928.642361111109</v>
      </c>
      <c r="B677" s="107" t="s">
        <v>1547</v>
      </c>
      <c r="C677" s="99" t="s">
        <v>1555</v>
      </c>
      <c r="D677" s="99" t="s">
        <v>1556</v>
      </c>
      <c r="E677" s="93">
        <v>52.59</v>
      </c>
      <c r="F677" s="94" t="s">
        <v>1543</v>
      </c>
      <c r="G677" s="95" t="s">
        <v>387</v>
      </c>
      <c r="H677" s="94">
        <v>105661689</v>
      </c>
      <c r="I677" s="101">
        <f t="shared" si="40"/>
        <v>44928.642361111109</v>
      </c>
      <c r="J677" s="102">
        <f t="shared" si="41"/>
        <v>1</v>
      </c>
      <c r="K677" s="103">
        <f t="shared" si="42"/>
        <v>2</v>
      </c>
      <c r="L677" s="83">
        <f t="shared" si="43"/>
        <v>15</v>
      </c>
    </row>
    <row r="678" spans="1:12" x14ac:dyDescent="0.25">
      <c r="A678" s="105">
        <v>44928.728472222225</v>
      </c>
      <c r="B678" s="107" t="s">
        <v>1554</v>
      </c>
      <c r="C678" s="99" t="s">
        <v>1557</v>
      </c>
      <c r="D678" s="99" t="s">
        <v>1558</v>
      </c>
      <c r="E678" s="93">
        <v>50</v>
      </c>
      <c r="F678" s="94" t="s">
        <v>1543</v>
      </c>
      <c r="G678" s="95" t="s">
        <v>389</v>
      </c>
      <c r="H678" s="94">
        <v>104749328</v>
      </c>
      <c r="I678" s="101">
        <f t="shared" si="40"/>
        <v>44928.728472222225</v>
      </c>
      <c r="J678" s="102">
        <f t="shared" si="41"/>
        <v>1</v>
      </c>
      <c r="K678" s="103">
        <f t="shared" si="42"/>
        <v>2</v>
      </c>
      <c r="L678" s="83">
        <f t="shared" si="43"/>
        <v>17</v>
      </c>
    </row>
    <row r="679" spans="1:12" x14ac:dyDescent="0.25">
      <c r="A679" s="105">
        <v>44928.59097222222</v>
      </c>
      <c r="B679" s="107" t="s">
        <v>1561</v>
      </c>
      <c r="C679" s="99" t="s">
        <v>1559</v>
      </c>
      <c r="D679" s="99" t="s">
        <v>1560</v>
      </c>
      <c r="E679" s="93">
        <v>78.23</v>
      </c>
      <c r="F679" s="94" t="s">
        <v>1543</v>
      </c>
      <c r="G679" s="95" t="s">
        <v>391</v>
      </c>
      <c r="H679" s="94">
        <v>104678337</v>
      </c>
      <c r="I679" s="101">
        <f t="shared" si="40"/>
        <v>44928.59097222222</v>
      </c>
      <c r="J679" s="102">
        <f t="shared" si="41"/>
        <v>1</v>
      </c>
      <c r="K679" s="103">
        <f t="shared" si="42"/>
        <v>2</v>
      </c>
      <c r="L679" s="83">
        <f t="shared" si="43"/>
        <v>14</v>
      </c>
    </row>
    <row r="680" spans="1:12" x14ac:dyDescent="0.25">
      <c r="A680" s="105">
        <v>44928.726388888892</v>
      </c>
      <c r="B680" s="107" t="s">
        <v>1568</v>
      </c>
      <c r="C680" s="99" t="s">
        <v>1562</v>
      </c>
      <c r="D680" s="99" t="s">
        <v>1563</v>
      </c>
      <c r="E680" s="93">
        <v>60</v>
      </c>
      <c r="F680" s="94" t="s">
        <v>1543</v>
      </c>
      <c r="G680" s="95" t="s">
        <v>393</v>
      </c>
      <c r="H680" s="94">
        <v>105366989</v>
      </c>
      <c r="I680" s="101">
        <f t="shared" si="40"/>
        <v>44928.726388888892</v>
      </c>
      <c r="J680" s="102">
        <f t="shared" si="41"/>
        <v>1</v>
      </c>
      <c r="K680" s="103">
        <f t="shared" si="42"/>
        <v>2</v>
      </c>
      <c r="L680" s="83">
        <f t="shared" si="43"/>
        <v>17</v>
      </c>
    </row>
    <row r="681" spans="1:12" x14ac:dyDescent="0.25">
      <c r="A681" s="105">
        <v>44928.663194444445</v>
      </c>
      <c r="B681" s="107" t="s">
        <v>1575</v>
      </c>
      <c r="C681" s="99" t="s">
        <v>1564</v>
      </c>
      <c r="D681" s="99" t="s">
        <v>1565</v>
      </c>
      <c r="E681" s="93">
        <v>215</v>
      </c>
      <c r="F681" s="94" t="s">
        <v>1543</v>
      </c>
      <c r="G681" s="95" t="s">
        <v>395</v>
      </c>
      <c r="H681" s="94">
        <v>105486679</v>
      </c>
      <c r="I681" s="101">
        <f t="shared" si="40"/>
        <v>44928.663194444445</v>
      </c>
      <c r="J681" s="102">
        <f t="shared" si="41"/>
        <v>1</v>
      </c>
      <c r="K681" s="103">
        <f t="shared" si="42"/>
        <v>2</v>
      </c>
      <c r="L681" s="83">
        <f t="shared" si="43"/>
        <v>15</v>
      </c>
    </row>
    <row r="682" spans="1:12" x14ac:dyDescent="0.25">
      <c r="A682" s="105">
        <v>44928.701388888891</v>
      </c>
      <c r="B682" s="107" t="s">
        <v>1582</v>
      </c>
      <c r="C682" s="99" t="s">
        <v>1566</v>
      </c>
      <c r="D682" s="99" t="s">
        <v>1567</v>
      </c>
      <c r="E682" s="93">
        <v>30</v>
      </c>
      <c r="F682" s="94" t="s">
        <v>1544</v>
      </c>
      <c r="G682" s="95" t="s">
        <v>397</v>
      </c>
      <c r="H682" s="94">
        <v>103078773</v>
      </c>
      <c r="I682" s="101">
        <f t="shared" si="40"/>
        <v>44928.701388888891</v>
      </c>
      <c r="J682" s="102">
        <f t="shared" si="41"/>
        <v>1</v>
      </c>
      <c r="K682" s="103">
        <f t="shared" si="42"/>
        <v>2</v>
      </c>
      <c r="L682" s="83">
        <f t="shared" si="43"/>
        <v>16</v>
      </c>
    </row>
    <row r="683" spans="1:12" x14ac:dyDescent="0.25">
      <c r="A683" s="105">
        <v>44928.64166666667</v>
      </c>
      <c r="B683" s="107" t="s">
        <v>1586</v>
      </c>
      <c r="C683" s="99" t="s">
        <v>1569</v>
      </c>
      <c r="D683" s="99" t="s">
        <v>1570</v>
      </c>
      <c r="E683" s="93">
        <v>39</v>
      </c>
      <c r="F683" s="94" t="s">
        <v>1543</v>
      </c>
      <c r="G683" s="95" t="s">
        <v>399</v>
      </c>
      <c r="H683" s="94">
        <v>103835985</v>
      </c>
      <c r="I683" s="101">
        <f t="shared" si="40"/>
        <v>44928.64166666667</v>
      </c>
      <c r="J683" s="102">
        <f t="shared" si="41"/>
        <v>1</v>
      </c>
      <c r="K683" s="103">
        <f t="shared" si="42"/>
        <v>2</v>
      </c>
      <c r="L683" s="83">
        <f t="shared" si="43"/>
        <v>15</v>
      </c>
    </row>
    <row r="684" spans="1:12" x14ac:dyDescent="0.25">
      <c r="A684" s="105">
        <v>44928.44027777778</v>
      </c>
      <c r="B684" s="107" t="s">
        <v>1589</v>
      </c>
      <c r="C684" s="99" t="s">
        <v>1571</v>
      </c>
      <c r="D684" s="99" t="s">
        <v>1572</v>
      </c>
      <c r="E684" s="93">
        <v>73.17</v>
      </c>
      <c r="F684" s="94" t="s">
        <v>1543</v>
      </c>
      <c r="G684" s="95" t="s">
        <v>401</v>
      </c>
      <c r="H684" s="94">
        <v>102747032</v>
      </c>
      <c r="I684" s="101">
        <f t="shared" si="40"/>
        <v>44928.44027777778</v>
      </c>
      <c r="J684" s="102">
        <f t="shared" si="41"/>
        <v>1</v>
      </c>
      <c r="K684" s="103">
        <f t="shared" si="42"/>
        <v>2</v>
      </c>
      <c r="L684" s="83">
        <f t="shared" si="43"/>
        <v>10</v>
      </c>
    </row>
    <row r="685" spans="1:12" x14ac:dyDescent="0.25">
      <c r="A685" s="105">
        <v>44928.443055555559</v>
      </c>
      <c r="B685" s="107" t="s">
        <v>1590</v>
      </c>
      <c r="C685" s="99" t="s">
        <v>1573</v>
      </c>
      <c r="D685" s="99" t="s">
        <v>1574</v>
      </c>
      <c r="E685" s="93">
        <v>130</v>
      </c>
      <c r="F685" s="94" t="s">
        <v>1543</v>
      </c>
      <c r="G685" s="95" t="s">
        <v>406</v>
      </c>
      <c r="H685" s="94">
        <v>104493880</v>
      </c>
      <c r="I685" s="101">
        <f t="shared" si="40"/>
        <v>44928.443055555559</v>
      </c>
      <c r="J685" s="102">
        <f t="shared" si="41"/>
        <v>1</v>
      </c>
      <c r="K685" s="103">
        <f t="shared" si="42"/>
        <v>2</v>
      </c>
      <c r="L685" s="83">
        <f t="shared" si="43"/>
        <v>10</v>
      </c>
    </row>
    <row r="686" spans="1:12" x14ac:dyDescent="0.25">
      <c r="A686" s="105">
        <v>44928.561805555553</v>
      </c>
      <c r="B686" s="107" t="s">
        <v>1591</v>
      </c>
      <c r="C686" s="99" t="s">
        <v>1576</v>
      </c>
      <c r="D686" s="99" t="s">
        <v>1577</v>
      </c>
      <c r="E686" s="93">
        <v>82</v>
      </c>
      <c r="F686" s="94" t="s">
        <v>1543</v>
      </c>
      <c r="G686" s="95" t="s">
        <v>408</v>
      </c>
      <c r="H686" s="94">
        <v>104685953</v>
      </c>
      <c r="I686" s="101">
        <f t="shared" si="40"/>
        <v>44928.561805555553</v>
      </c>
      <c r="J686" s="102">
        <f t="shared" si="41"/>
        <v>1</v>
      </c>
      <c r="K686" s="103">
        <f t="shared" si="42"/>
        <v>2</v>
      </c>
      <c r="L686" s="83">
        <f t="shared" si="43"/>
        <v>13</v>
      </c>
    </row>
    <row r="687" spans="1:12" x14ac:dyDescent="0.25">
      <c r="A687" s="105">
        <v>44928.722916666666</v>
      </c>
      <c r="B687" s="107" t="s">
        <v>1592</v>
      </c>
      <c r="C687" s="99" t="s">
        <v>1578</v>
      </c>
      <c r="D687" s="99" t="s">
        <v>1579</v>
      </c>
      <c r="E687" s="93">
        <v>40</v>
      </c>
      <c r="F687" s="94" t="s">
        <v>1543</v>
      </c>
      <c r="G687" s="95" t="s">
        <v>410</v>
      </c>
      <c r="H687" s="94">
        <v>104128299</v>
      </c>
      <c r="I687" s="101">
        <f t="shared" si="40"/>
        <v>44928.722916666666</v>
      </c>
      <c r="J687" s="102">
        <f t="shared" si="41"/>
        <v>1</v>
      </c>
      <c r="K687" s="103">
        <f t="shared" si="42"/>
        <v>2</v>
      </c>
      <c r="L687" s="83">
        <f t="shared" si="43"/>
        <v>17</v>
      </c>
    </row>
    <row r="688" spans="1:12" x14ac:dyDescent="0.25">
      <c r="A688" s="105">
        <v>44928.771527777775</v>
      </c>
      <c r="B688" s="107" t="s">
        <v>1593</v>
      </c>
      <c r="C688" s="99" t="s">
        <v>1580</v>
      </c>
      <c r="D688" s="99" t="s">
        <v>1581</v>
      </c>
      <c r="E688" s="93">
        <v>124</v>
      </c>
      <c r="F688" s="94" t="s">
        <v>1543</v>
      </c>
      <c r="G688" s="95" t="s">
        <v>412</v>
      </c>
      <c r="H688" s="94">
        <v>103327453</v>
      </c>
      <c r="I688" s="101">
        <f t="shared" si="40"/>
        <v>44928.771527777775</v>
      </c>
      <c r="J688" s="102">
        <f t="shared" si="41"/>
        <v>1</v>
      </c>
      <c r="K688" s="103">
        <f t="shared" si="42"/>
        <v>2</v>
      </c>
      <c r="L688" s="83">
        <f t="shared" si="43"/>
        <v>18</v>
      </c>
    </row>
    <row r="689" spans="1:12" x14ac:dyDescent="0.25">
      <c r="A689" s="105">
        <v>44928.620138888888</v>
      </c>
      <c r="B689" s="107" t="s">
        <v>1594</v>
      </c>
      <c r="C689" s="99" t="s">
        <v>1548</v>
      </c>
      <c r="D689" s="99" t="s">
        <v>1549</v>
      </c>
      <c r="E689" s="93">
        <v>32.04</v>
      </c>
      <c r="F689" s="94" t="s">
        <v>1543</v>
      </c>
      <c r="G689" s="95" t="s">
        <v>414</v>
      </c>
      <c r="H689" s="94">
        <v>103723168</v>
      </c>
      <c r="I689" s="101">
        <f t="shared" si="40"/>
        <v>44928.620138888888</v>
      </c>
      <c r="J689" s="102">
        <f t="shared" si="41"/>
        <v>1</v>
      </c>
      <c r="K689" s="103">
        <f t="shared" si="42"/>
        <v>2</v>
      </c>
      <c r="L689" s="83">
        <f t="shared" si="43"/>
        <v>14</v>
      </c>
    </row>
    <row r="690" spans="1:12" x14ac:dyDescent="0.25">
      <c r="A690" s="105">
        <v>44928.700694444444</v>
      </c>
      <c r="B690" s="107" t="s">
        <v>1595</v>
      </c>
      <c r="C690" s="99" t="s">
        <v>1583</v>
      </c>
      <c r="D690" s="99" t="s">
        <v>1574</v>
      </c>
      <c r="E690" s="93">
        <v>65</v>
      </c>
      <c r="F690" s="94" t="s">
        <v>1543</v>
      </c>
      <c r="G690" s="95" t="s">
        <v>416</v>
      </c>
      <c r="H690" s="94">
        <v>105272642</v>
      </c>
      <c r="I690" s="101">
        <f t="shared" si="40"/>
        <v>44928.700694444444</v>
      </c>
      <c r="J690" s="102">
        <f t="shared" si="41"/>
        <v>1</v>
      </c>
      <c r="K690" s="103">
        <f t="shared" si="42"/>
        <v>2</v>
      </c>
      <c r="L690" s="83">
        <f t="shared" si="43"/>
        <v>16</v>
      </c>
    </row>
    <row r="691" spans="1:12" x14ac:dyDescent="0.25">
      <c r="A691" s="105">
        <v>44928.465277777781</v>
      </c>
      <c r="B691" s="107" t="s">
        <v>1597</v>
      </c>
      <c r="C691" s="99" t="s">
        <v>1584</v>
      </c>
      <c r="D691" s="99" t="s">
        <v>1585</v>
      </c>
      <c r="E691" s="93">
        <v>200</v>
      </c>
      <c r="F691" s="94" t="s">
        <v>1543</v>
      </c>
      <c r="G691" s="95" t="s">
        <v>418</v>
      </c>
      <c r="H691" s="94">
        <v>102721939</v>
      </c>
      <c r="I691" s="101">
        <f t="shared" si="40"/>
        <v>44928.465277777781</v>
      </c>
      <c r="J691" s="102">
        <f t="shared" si="41"/>
        <v>1</v>
      </c>
      <c r="K691" s="103">
        <f t="shared" si="42"/>
        <v>2</v>
      </c>
      <c r="L691" s="83">
        <f t="shared" si="43"/>
        <v>11</v>
      </c>
    </row>
    <row r="692" spans="1:12" x14ac:dyDescent="0.25">
      <c r="A692" s="105">
        <v>44928.597222222219</v>
      </c>
      <c r="B692" s="107" t="s">
        <v>1547</v>
      </c>
      <c r="C692" s="99" t="s">
        <v>1557</v>
      </c>
      <c r="D692" s="99" t="s">
        <v>1558</v>
      </c>
      <c r="E692" s="93">
        <v>20</v>
      </c>
      <c r="F692" s="94" t="s">
        <v>1544</v>
      </c>
      <c r="G692" s="95" t="s">
        <v>420</v>
      </c>
      <c r="H692" s="94">
        <v>105057101</v>
      </c>
      <c r="I692" s="101">
        <f t="shared" si="40"/>
        <v>44928.597222222219</v>
      </c>
      <c r="J692" s="102">
        <f t="shared" si="41"/>
        <v>1</v>
      </c>
      <c r="K692" s="103">
        <f t="shared" si="42"/>
        <v>2</v>
      </c>
      <c r="L692" s="83">
        <f t="shared" si="43"/>
        <v>14</v>
      </c>
    </row>
    <row r="693" spans="1:12" x14ac:dyDescent="0.25">
      <c r="A693" s="105">
        <v>44928.493750000001</v>
      </c>
      <c r="B693" s="107" t="s">
        <v>1554</v>
      </c>
      <c r="C693" s="99" t="s">
        <v>1587</v>
      </c>
      <c r="D693" s="99" t="s">
        <v>1588</v>
      </c>
      <c r="E693" s="93">
        <v>177.47</v>
      </c>
      <c r="F693" s="94" t="s">
        <v>1543</v>
      </c>
      <c r="G693" s="95" t="s">
        <v>422</v>
      </c>
      <c r="H693" s="94">
        <v>102522270</v>
      </c>
      <c r="I693" s="101">
        <f t="shared" si="40"/>
        <v>44928.493750000001</v>
      </c>
      <c r="J693" s="102">
        <f t="shared" si="41"/>
        <v>1</v>
      </c>
      <c r="K693" s="103">
        <f t="shared" si="42"/>
        <v>2</v>
      </c>
      <c r="L693" s="83">
        <f t="shared" si="43"/>
        <v>11</v>
      </c>
    </row>
    <row r="694" spans="1:12" x14ac:dyDescent="0.25">
      <c r="A694" s="105">
        <v>44928.715277777781</v>
      </c>
      <c r="B694" s="107" t="s">
        <v>1561</v>
      </c>
      <c r="C694" s="99" t="s">
        <v>1564</v>
      </c>
      <c r="D694" s="99" t="s">
        <v>1565</v>
      </c>
      <c r="E694" s="93">
        <v>155</v>
      </c>
      <c r="F694" s="94" t="s">
        <v>1543</v>
      </c>
      <c r="G694" s="95" t="s">
        <v>424</v>
      </c>
      <c r="H694" s="94">
        <v>103891712</v>
      </c>
      <c r="I694" s="101">
        <f t="shared" si="40"/>
        <v>44928.715277777781</v>
      </c>
      <c r="J694" s="102">
        <f t="shared" si="41"/>
        <v>1</v>
      </c>
      <c r="K694" s="103">
        <f t="shared" si="42"/>
        <v>2</v>
      </c>
      <c r="L694" s="83">
        <f t="shared" si="43"/>
        <v>17</v>
      </c>
    </row>
    <row r="695" spans="1:12" x14ac:dyDescent="0.25">
      <c r="A695" s="105">
        <v>44928.60833333333</v>
      </c>
      <c r="B695" s="107" t="s">
        <v>1568</v>
      </c>
      <c r="C695" s="99" t="s">
        <v>1548</v>
      </c>
      <c r="D695" s="99" t="s">
        <v>1549</v>
      </c>
      <c r="E695" s="93">
        <v>78</v>
      </c>
      <c r="F695" s="94" t="s">
        <v>1543</v>
      </c>
      <c r="G695" s="95" t="s">
        <v>426</v>
      </c>
      <c r="H695" s="94">
        <v>101244999</v>
      </c>
      <c r="I695" s="101">
        <f t="shared" si="40"/>
        <v>44928.60833333333</v>
      </c>
      <c r="J695" s="102">
        <f t="shared" si="41"/>
        <v>1</v>
      </c>
      <c r="K695" s="103">
        <f t="shared" si="42"/>
        <v>2</v>
      </c>
      <c r="L695" s="83">
        <f t="shared" si="43"/>
        <v>14</v>
      </c>
    </row>
    <row r="696" spans="1:12" x14ac:dyDescent="0.25">
      <c r="A696" s="105">
        <v>44928.527083333334</v>
      </c>
      <c r="B696" s="107" t="s">
        <v>1575</v>
      </c>
      <c r="C696" s="99" t="s">
        <v>1550</v>
      </c>
      <c r="D696" s="99" t="s">
        <v>1551</v>
      </c>
      <c r="E696" s="93">
        <v>101.71</v>
      </c>
      <c r="F696" s="94" t="s">
        <v>1543</v>
      </c>
      <c r="G696" s="95" t="s">
        <v>428</v>
      </c>
      <c r="H696" s="94">
        <v>104260562</v>
      </c>
      <c r="I696" s="101">
        <f t="shared" si="40"/>
        <v>44928.527083333334</v>
      </c>
      <c r="J696" s="102">
        <f t="shared" si="41"/>
        <v>1</v>
      </c>
      <c r="K696" s="103">
        <f t="shared" si="42"/>
        <v>2</v>
      </c>
      <c r="L696" s="83">
        <f t="shared" si="43"/>
        <v>12</v>
      </c>
    </row>
    <row r="697" spans="1:12" x14ac:dyDescent="0.25">
      <c r="A697" s="105">
        <v>44928.783333333333</v>
      </c>
      <c r="B697" s="107" t="s">
        <v>1582</v>
      </c>
      <c r="C697" s="99" t="s">
        <v>1562</v>
      </c>
      <c r="D697" s="99" t="s">
        <v>1563</v>
      </c>
      <c r="E697" s="93">
        <v>354</v>
      </c>
      <c r="F697" s="94" t="s">
        <v>1543</v>
      </c>
      <c r="G697" s="95" t="s">
        <v>430</v>
      </c>
      <c r="H697" s="94">
        <v>103918843</v>
      </c>
      <c r="I697" s="101">
        <f t="shared" si="40"/>
        <v>44928.783333333333</v>
      </c>
      <c r="J697" s="102">
        <f t="shared" si="41"/>
        <v>1</v>
      </c>
      <c r="K697" s="103">
        <f t="shared" si="42"/>
        <v>2</v>
      </c>
      <c r="L697" s="83">
        <f t="shared" si="43"/>
        <v>18</v>
      </c>
    </row>
    <row r="698" spans="1:12" x14ac:dyDescent="0.25">
      <c r="A698" s="105">
        <v>44928.477083333331</v>
      </c>
      <c r="B698" s="107" t="s">
        <v>1586</v>
      </c>
      <c r="C698" s="99" t="s">
        <v>1552</v>
      </c>
      <c r="D698" s="99" t="s">
        <v>1553</v>
      </c>
      <c r="E698" s="93">
        <v>150</v>
      </c>
      <c r="F698" s="94" t="s">
        <v>1543</v>
      </c>
      <c r="G698" s="95" t="s">
        <v>433</v>
      </c>
      <c r="H698" s="94">
        <v>101485278</v>
      </c>
      <c r="I698" s="101">
        <f t="shared" si="40"/>
        <v>44928.477083333331</v>
      </c>
      <c r="J698" s="102">
        <f t="shared" si="41"/>
        <v>1</v>
      </c>
      <c r="K698" s="103">
        <f t="shared" si="42"/>
        <v>2</v>
      </c>
      <c r="L698" s="83">
        <f t="shared" si="43"/>
        <v>11</v>
      </c>
    </row>
    <row r="699" spans="1:12" x14ac:dyDescent="0.25">
      <c r="A699" s="105">
        <v>44928.686805555553</v>
      </c>
      <c r="B699" s="107" t="s">
        <v>1589</v>
      </c>
      <c r="C699" s="99" t="s">
        <v>1555</v>
      </c>
      <c r="D699" s="99" t="s">
        <v>1556</v>
      </c>
      <c r="E699" s="93">
        <v>106.01</v>
      </c>
      <c r="F699" s="94" t="s">
        <v>1543</v>
      </c>
      <c r="G699" s="95" t="s">
        <v>435</v>
      </c>
      <c r="H699" s="94">
        <v>104917020</v>
      </c>
      <c r="I699" s="101">
        <f t="shared" si="40"/>
        <v>44928.686805555553</v>
      </c>
      <c r="J699" s="102">
        <f t="shared" si="41"/>
        <v>1</v>
      </c>
      <c r="K699" s="103">
        <f t="shared" si="42"/>
        <v>2</v>
      </c>
      <c r="L699" s="83">
        <f t="shared" si="43"/>
        <v>16</v>
      </c>
    </row>
    <row r="700" spans="1:12" x14ac:dyDescent="0.25">
      <c r="A700" s="105">
        <v>44928.538194444445</v>
      </c>
      <c r="B700" s="107" t="s">
        <v>1590</v>
      </c>
      <c r="C700" s="99" t="s">
        <v>1559</v>
      </c>
      <c r="D700" s="99" t="s">
        <v>1560</v>
      </c>
      <c r="E700" s="93">
        <v>60</v>
      </c>
      <c r="F700" s="94" t="s">
        <v>1543</v>
      </c>
      <c r="G700" s="95" t="s">
        <v>437</v>
      </c>
      <c r="H700" s="94">
        <v>104038492</v>
      </c>
      <c r="I700" s="101">
        <f t="shared" si="40"/>
        <v>44928.538194444445</v>
      </c>
      <c r="J700" s="102">
        <f t="shared" si="41"/>
        <v>1</v>
      </c>
      <c r="K700" s="103">
        <f t="shared" si="42"/>
        <v>2</v>
      </c>
      <c r="L700" s="83">
        <f t="shared" si="43"/>
        <v>12</v>
      </c>
    </row>
    <row r="701" spans="1:12" x14ac:dyDescent="0.25">
      <c r="A701" s="105">
        <v>44928.616666666669</v>
      </c>
      <c r="B701" s="107" t="s">
        <v>1591</v>
      </c>
      <c r="C701" s="99" t="s">
        <v>1548</v>
      </c>
      <c r="D701" s="99" t="s">
        <v>1549</v>
      </c>
      <c r="E701" s="93">
        <v>73</v>
      </c>
      <c r="F701" s="94" t="s">
        <v>1543</v>
      </c>
      <c r="G701" s="95" t="s">
        <v>439</v>
      </c>
      <c r="H701" s="94">
        <v>103790747</v>
      </c>
      <c r="I701" s="101">
        <f t="shared" si="40"/>
        <v>44928.616666666669</v>
      </c>
      <c r="J701" s="102">
        <f t="shared" si="41"/>
        <v>1</v>
      </c>
      <c r="K701" s="103">
        <f t="shared" si="42"/>
        <v>2</v>
      </c>
      <c r="L701" s="83">
        <f t="shared" si="43"/>
        <v>14</v>
      </c>
    </row>
    <row r="702" spans="1:12" x14ac:dyDescent="0.25">
      <c r="A702" s="105">
        <v>44928.67083333333</v>
      </c>
      <c r="B702" s="107" t="s">
        <v>1592</v>
      </c>
      <c r="C702" s="99" t="s">
        <v>1566</v>
      </c>
      <c r="D702" s="99" t="s">
        <v>1567</v>
      </c>
      <c r="E702" s="93">
        <v>106.6</v>
      </c>
      <c r="F702" s="94" t="s">
        <v>1543</v>
      </c>
      <c r="G702" s="95" t="s">
        <v>441</v>
      </c>
      <c r="H702" s="94">
        <v>105068724</v>
      </c>
      <c r="I702" s="101">
        <f t="shared" si="40"/>
        <v>44928.67083333333</v>
      </c>
      <c r="J702" s="102">
        <f t="shared" si="41"/>
        <v>1</v>
      </c>
      <c r="K702" s="103">
        <f t="shared" si="42"/>
        <v>2</v>
      </c>
      <c r="L702" s="83">
        <f t="shared" si="43"/>
        <v>16</v>
      </c>
    </row>
    <row r="703" spans="1:12" x14ac:dyDescent="0.25">
      <c r="A703" s="105">
        <v>44928.565972222219</v>
      </c>
      <c r="B703" s="107" t="s">
        <v>1593</v>
      </c>
      <c r="C703" s="99" t="s">
        <v>1564</v>
      </c>
      <c r="D703" s="99" t="s">
        <v>1565</v>
      </c>
      <c r="E703" s="93">
        <v>101.77</v>
      </c>
      <c r="F703" s="94" t="s">
        <v>1544</v>
      </c>
      <c r="G703" s="95" t="s">
        <v>443</v>
      </c>
      <c r="H703" s="94">
        <v>104965801</v>
      </c>
      <c r="I703" s="101">
        <f t="shared" si="40"/>
        <v>44928.565972222219</v>
      </c>
      <c r="J703" s="102">
        <f t="shared" si="41"/>
        <v>1</v>
      </c>
      <c r="K703" s="103">
        <f t="shared" si="42"/>
        <v>2</v>
      </c>
      <c r="L703" s="83">
        <f t="shared" si="43"/>
        <v>13</v>
      </c>
    </row>
    <row r="704" spans="1:12" x14ac:dyDescent="0.25">
      <c r="A704" s="105">
        <v>44928.556944444441</v>
      </c>
      <c r="B704" s="107" t="s">
        <v>1594</v>
      </c>
      <c r="C704" s="99" t="s">
        <v>1548</v>
      </c>
      <c r="D704" s="99" t="s">
        <v>1549</v>
      </c>
      <c r="E704" s="93">
        <v>42.12</v>
      </c>
      <c r="F704" s="94" t="s">
        <v>1543</v>
      </c>
      <c r="G704" s="95" t="s">
        <v>445</v>
      </c>
      <c r="H704" s="94">
        <v>104219681</v>
      </c>
      <c r="I704" s="101">
        <f t="shared" si="40"/>
        <v>44928.556944444441</v>
      </c>
      <c r="J704" s="102">
        <f t="shared" si="41"/>
        <v>1</v>
      </c>
      <c r="K704" s="103">
        <f t="shared" si="42"/>
        <v>2</v>
      </c>
      <c r="L704" s="83">
        <f t="shared" si="43"/>
        <v>13</v>
      </c>
    </row>
    <row r="705" spans="1:12" x14ac:dyDescent="0.25">
      <c r="A705" s="105">
        <v>44928.6</v>
      </c>
      <c r="B705" s="107" t="s">
        <v>1595</v>
      </c>
      <c r="C705" s="99" t="s">
        <v>1550</v>
      </c>
      <c r="D705" s="99" t="s">
        <v>1551</v>
      </c>
      <c r="E705" s="93">
        <v>173.97</v>
      </c>
      <c r="F705" s="94" t="s">
        <v>1543</v>
      </c>
      <c r="G705" s="95" t="s">
        <v>447</v>
      </c>
      <c r="H705" s="94">
        <v>104790059</v>
      </c>
      <c r="I705" s="101">
        <f t="shared" si="40"/>
        <v>44928.6</v>
      </c>
      <c r="J705" s="102">
        <f t="shared" si="41"/>
        <v>1</v>
      </c>
      <c r="K705" s="103">
        <f t="shared" si="42"/>
        <v>2</v>
      </c>
      <c r="L705" s="83">
        <f t="shared" si="43"/>
        <v>14</v>
      </c>
    </row>
    <row r="706" spans="1:12" x14ac:dyDescent="0.25">
      <c r="A706" s="105">
        <v>44928.665972222225</v>
      </c>
      <c r="B706" s="107" t="s">
        <v>1597</v>
      </c>
      <c r="C706" s="99" t="s">
        <v>1557</v>
      </c>
      <c r="D706" s="99" t="s">
        <v>1558</v>
      </c>
      <c r="E706" s="93">
        <v>31.04</v>
      </c>
      <c r="F706" s="94" t="s">
        <v>1543</v>
      </c>
      <c r="G706" s="95" t="s">
        <v>449</v>
      </c>
      <c r="H706" s="94">
        <v>105685439</v>
      </c>
      <c r="I706" s="101">
        <f t="shared" si="40"/>
        <v>44928.665972222225</v>
      </c>
      <c r="J706" s="102">
        <f t="shared" si="41"/>
        <v>1</v>
      </c>
      <c r="K706" s="103">
        <f t="shared" si="42"/>
        <v>2</v>
      </c>
      <c r="L706" s="83">
        <f t="shared" si="43"/>
        <v>15</v>
      </c>
    </row>
    <row r="707" spans="1:12" x14ac:dyDescent="0.25">
      <c r="A707" s="105">
        <v>44928.557638888888</v>
      </c>
      <c r="B707" s="107" t="s">
        <v>1547</v>
      </c>
      <c r="C707" s="99" t="s">
        <v>1562</v>
      </c>
      <c r="D707" s="99" t="s">
        <v>1563</v>
      </c>
      <c r="E707" s="93">
        <v>41</v>
      </c>
      <c r="F707" s="94" t="s">
        <v>1543</v>
      </c>
      <c r="G707" s="95" t="s">
        <v>452</v>
      </c>
      <c r="H707" s="94">
        <v>103003609</v>
      </c>
      <c r="I707" s="101">
        <f t="shared" ref="I707:I770" si="44">A707</f>
        <v>44928.557638888888</v>
      </c>
      <c r="J707" s="102">
        <f t="shared" ref="J707:J770" si="45">MONTH(A707)</f>
        <v>1</v>
      </c>
      <c r="K707" s="103">
        <f t="shared" ref="K707:K770" si="46">DAY(A707)</f>
        <v>2</v>
      </c>
      <c r="L707" s="83">
        <f t="shared" ref="L707:L770" si="47">HOUR(A707)</f>
        <v>13</v>
      </c>
    </row>
    <row r="708" spans="1:12" x14ac:dyDescent="0.25">
      <c r="A708" s="105">
        <v>44987.536805555559</v>
      </c>
      <c r="B708" s="107" t="s">
        <v>1554</v>
      </c>
      <c r="C708" s="99" t="s">
        <v>1576</v>
      </c>
      <c r="D708" s="99" t="s">
        <v>1577</v>
      </c>
      <c r="E708" s="93">
        <v>25.07</v>
      </c>
      <c r="F708" s="94" t="s">
        <v>1543</v>
      </c>
      <c r="G708" s="95" t="s">
        <v>454</v>
      </c>
      <c r="H708" s="94">
        <v>105715043</v>
      </c>
      <c r="I708" s="101">
        <f t="shared" si="44"/>
        <v>44987.536805555559</v>
      </c>
      <c r="J708" s="102">
        <f t="shared" si="45"/>
        <v>3</v>
      </c>
      <c r="K708" s="103">
        <f t="shared" si="46"/>
        <v>2</v>
      </c>
      <c r="L708" s="83">
        <f t="shared" si="47"/>
        <v>12</v>
      </c>
    </row>
    <row r="709" spans="1:12" x14ac:dyDescent="0.25">
      <c r="A709" s="105">
        <v>44987.457638888889</v>
      </c>
      <c r="B709" s="107" t="s">
        <v>1561</v>
      </c>
      <c r="C709" s="99" t="s">
        <v>1569</v>
      </c>
      <c r="D709" s="99" t="s">
        <v>1570</v>
      </c>
      <c r="E709" s="93">
        <v>55.75</v>
      </c>
      <c r="F709" s="94" t="s">
        <v>1543</v>
      </c>
      <c r="G709" s="95" t="s">
        <v>456</v>
      </c>
      <c r="H709" s="94">
        <v>105028567</v>
      </c>
      <c r="I709" s="101">
        <f t="shared" si="44"/>
        <v>44987.457638888889</v>
      </c>
      <c r="J709" s="102">
        <f t="shared" si="45"/>
        <v>3</v>
      </c>
      <c r="K709" s="103">
        <f t="shared" si="46"/>
        <v>2</v>
      </c>
      <c r="L709" s="83">
        <f t="shared" si="47"/>
        <v>10</v>
      </c>
    </row>
    <row r="710" spans="1:12" x14ac:dyDescent="0.25">
      <c r="A710" s="105">
        <v>44987.788888888892</v>
      </c>
      <c r="B710" s="107" t="s">
        <v>1568</v>
      </c>
      <c r="C710" s="99" t="s">
        <v>1548</v>
      </c>
      <c r="D710" s="99" t="s">
        <v>1549</v>
      </c>
      <c r="E710" s="93">
        <v>110</v>
      </c>
      <c r="F710" s="94" t="s">
        <v>1543</v>
      </c>
      <c r="G710" s="95" t="s">
        <v>458</v>
      </c>
      <c r="H710" s="94">
        <v>103650330</v>
      </c>
      <c r="I710" s="101">
        <f t="shared" si="44"/>
        <v>44987.788888888892</v>
      </c>
      <c r="J710" s="102">
        <f t="shared" si="45"/>
        <v>3</v>
      </c>
      <c r="K710" s="103">
        <f t="shared" si="46"/>
        <v>2</v>
      </c>
      <c r="L710" s="83">
        <f t="shared" si="47"/>
        <v>18</v>
      </c>
    </row>
    <row r="711" spans="1:12" x14ac:dyDescent="0.25">
      <c r="A711" s="105">
        <v>44987.692361111112</v>
      </c>
      <c r="B711" s="107" t="s">
        <v>1575</v>
      </c>
      <c r="C711" s="99" t="s">
        <v>1559</v>
      </c>
      <c r="D711" s="99" t="s">
        <v>1560</v>
      </c>
      <c r="E711" s="93">
        <v>50</v>
      </c>
      <c r="F711" s="94" t="s">
        <v>1543</v>
      </c>
      <c r="G711" s="95" t="s">
        <v>460</v>
      </c>
      <c r="H711" s="94">
        <v>104969853</v>
      </c>
      <c r="I711" s="101">
        <f t="shared" si="44"/>
        <v>44987.692361111112</v>
      </c>
      <c r="J711" s="102">
        <f t="shared" si="45"/>
        <v>3</v>
      </c>
      <c r="K711" s="103">
        <f t="shared" si="46"/>
        <v>2</v>
      </c>
      <c r="L711" s="83">
        <f t="shared" si="47"/>
        <v>16</v>
      </c>
    </row>
    <row r="712" spans="1:12" x14ac:dyDescent="0.25">
      <c r="A712" s="105">
        <v>44987.457638888889</v>
      </c>
      <c r="B712" s="107" t="s">
        <v>1582</v>
      </c>
      <c r="C712" s="99" t="s">
        <v>1571</v>
      </c>
      <c r="D712" s="99" t="s">
        <v>1572</v>
      </c>
      <c r="E712" s="93">
        <v>100</v>
      </c>
      <c r="F712" s="94" t="s">
        <v>1544</v>
      </c>
      <c r="G712" s="95" t="s">
        <v>462</v>
      </c>
      <c r="H712" s="94">
        <v>103693136</v>
      </c>
      <c r="I712" s="101">
        <f t="shared" si="44"/>
        <v>44987.457638888889</v>
      </c>
      <c r="J712" s="102">
        <f t="shared" si="45"/>
        <v>3</v>
      </c>
      <c r="K712" s="103">
        <f t="shared" si="46"/>
        <v>2</v>
      </c>
      <c r="L712" s="83">
        <f t="shared" si="47"/>
        <v>10</v>
      </c>
    </row>
    <row r="713" spans="1:12" x14ac:dyDescent="0.25">
      <c r="A713" s="105">
        <v>44987.484027777777</v>
      </c>
      <c r="B713" s="107" t="s">
        <v>1586</v>
      </c>
      <c r="C713" s="99" t="s">
        <v>1550</v>
      </c>
      <c r="D713" s="99" t="s">
        <v>1551</v>
      </c>
      <c r="E713" s="93">
        <v>23.56</v>
      </c>
      <c r="F713" s="94" t="s">
        <v>1543</v>
      </c>
      <c r="G713" s="95" t="s">
        <v>464</v>
      </c>
      <c r="H713" s="94">
        <v>105583812</v>
      </c>
      <c r="I713" s="101">
        <f t="shared" si="44"/>
        <v>44987.484027777777</v>
      </c>
      <c r="J713" s="102">
        <f t="shared" si="45"/>
        <v>3</v>
      </c>
      <c r="K713" s="103">
        <f t="shared" si="46"/>
        <v>2</v>
      </c>
      <c r="L713" s="83">
        <f t="shared" si="47"/>
        <v>11</v>
      </c>
    </row>
    <row r="714" spans="1:12" x14ac:dyDescent="0.25">
      <c r="A714" s="105">
        <v>44987.574305555558</v>
      </c>
      <c r="B714" s="107" t="s">
        <v>1589</v>
      </c>
      <c r="C714" s="99" t="s">
        <v>1557</v>
      </c>
      <c r="D714" s="99" t="s">
        <v>1558</v>
      </c>
      <c r="E714" s="93">
        <v>182</v>
      </c>
      <c r="F714" s="94" t="s">
        <v>1543</v>
      </c>
      <c r="G714" s="95" t="s">
        <v>466</v>
      </c>
      <c r="H714" s="94">
        <v>105246796</v>
      </c>
      <c r="I714" s="101">
        <f t="shared" si="44"/>
        <v>44987.574305555558</v>
      </c>
      <c r="J714" s="102">
        <f t="shared" si="45"/>
        <v>3</v>
      </c>
      <c r="K714" s="103">
        <f t="shared" si="46"/>
        <v>2</v>
      </c>
      <c r="L714" s="83">
        <f t="shared" si="47"/>
        <v>13</v>
      </c>
    </row>
    <row r="715" spans="1:12" x14ac:dyDescent="0.25">
      <c r="A715" s="105">
        <v>44987.609027777777</v>
      </c>
      <c r="B715" s="107" t="s">
        <v>1590</v>
      </c>
      <c r="C715" s="99" t="s">
        <v>1555</v>
      </c>
      <c r="D715" s="99" t="s">
        <v>1556</v>
      </c>
      <c r="E715" s="93">
        <v>147</v>
      </c>
      <c r="F715" s="94" t="s">
        <v>1544</v>
      </c>
      <c r="G715" s="95" t="s">
        <v>468</v>
      </c>
      <c r="H715" s="94">
        <v>105236970</v>
      </c>
      <c r="I715" s="101">
        <f t="shared" si="44"/>
        <v>44987.609027777777</v>
      </c>
      <c r="J715" s="102">
        <f t="shared" si="45"/>
        <v>3</v>
      </c>
      <c r="K715" s="103">
        <f t="shared" si="46"/>
        <v>2</v>
      </c>
      <c r="L715" s="83">
        <f t="shared" si="47"/>
        <v>14</v>
      </c>
    </row>
    <row r="716" spans="1:12" x14ac:dyDescent="0.25">
      <c r="A716" s="105">
        <v>44987.677083333336</v>
      </c>
      <c r="B716" s="107" t="s">
        <v>1591</v>
      </c>
      <c r="C716" s="99" t="s">
        <v>1548</v>
      </c>
      <c r="D716" s="99" t="s">
        <v>1549</v>
      </c>
      <c r="E716" s="93">
        <v>100</v>
      </c>
      <c r="F716" s="94" t="s">
        <v>1543</v>
      </c>
      <c r="G716" s="95" t="s">
        <v>470</v>
      </c>
      <c r="H716" s="94">
        <v>105282726</v>
      </c>
      <c r="I716" s="101">
        <f t="shared" si="44"/>
        <v>44987.677083333336</v>
      </c>
      <c r="J716" s="102">
        <f t="shared" si="45"/>
        <v>3</v>
      </c>
      <c r="K716" s="103">
        <f t="shared" si="46"/>
        <v>2</v>
      </c>
      <c r="L716" s="83">
        <f t="shared" si="47"/>
        <v>16</v>
      </c>
    </row>
    <row r="717" spans="1:12" x14ac:dyDescent="0.25">
      <c r="A717" s="105">
        <v>44987.745138888888</v>
      </c>
      <c r="B717" s="107" t="s">
        <v>1592</v>
      </c>
      <c r="C717" s="99" t="s">
        <v>1550</v>
      </c>
      <c r="D717" s="99" t="s">
        <v>1551</v>
      </c>
      <c r="E717" s="93">
        <v>40</v>
      </c>
      <c r="F717" s="94" t="s">
        <v>1543</v>
      </c>
      <c r="G717" s="95" t="s">
        <v>472</v>
      </c>
      <c r="H717" s="94">
        <v>102788640</v>
      </c>
      <c r="I717" s="101">
        <f t="shared" si="44"/>
        <v>44987.745138888888</v>
      </c>
      <c r="J717" s="102">
        <f t="shared" si="45"/>
        <v>3</v>
      </c>
      <c r="K717" s="103">
        <f t="shared" si="46"/>
        <v>2</v>
      </c>
      <c r="L717" s="83">
        <f t="shared" si="47"/>
        <v>17</v>
      </c>
    </row>
    <row r="718" spans="1:12" x14ac:dyDescent="0.25">
      <c r="A718" s="105">
        <v>44987.436805555553</v>
      </c>
      <c r="B718" s="107" t="s">
        <v>1593</v>
      </c>
      <c r="C718" s="99" t="s">
        <v>1552</v>
      </c>
      <c r="D718" s="99" t="s">
        <v>1553</v>
      </c>
      <c r="E718" s="93">
        <v>159.38</v>
      </c>
      <c r="F718" s="94" t="s">
        <v>1543</v>
      </c>
      <c r="G718" s="95" t="s">
        <v>475</v>
      </c>
      <c r="H718" s="94">
        <v>100774606</v>
      </c>
      <c r="I718" s="101">
        <f t="shared" si="44"/>
        <v>44987.436805555553</v>
      </c>
      <c r="J718" s="102">
        <f t="shared" si="45"/>
        <v>3</v>
      </c>
      <c r="K718" s="103">
        <f t="shared" si="46"/>
        <v>2</v>
      </c>
      <c r="L718" s="83">
        <f t="shared" si="47"/>
        <v>10</v>
      </c>
    </row>
    <row r="719" spans="1:12" x14ac:dyDescent="0.25">
      <c r="A719" s="105">
        <v>44987.442361111112</v>
      </c>
      <c r="B719" s="107" t="s">
        <v>1594</v>
      </c>
      <c r="C719" s="99" t="s">
        <v>1555</v>
      </c>
      <c r="D719" s="99" t="s">
        <v>1556</v>
      </c>
      <c r="E719" s="93">
        <v>13</v>
      </c>
      <c r="F719" s="94" t="s">
        <v>1543</v>
      </c>
      <c r="G719" s="95" t="s">
        <v>477</v>
      </c>
      <c r="H719" s="94">
        <v>104493880</v>
      </c>
      <c r="I719" s="101">
        <f t="shared" si="44"/>
        <v>44987.442361111112</v>
      </c>
      <c r="J719" s="102">
        <f t="shared" si="45"/>
        <v>3</v>
      </c>
      <c r="K719" s="103">
        <f t="shared" si="46"/>
        <v>2</v>
      </c>
      <c r="L719" s="83">
        <f t="shared" si="47"/>
        <v>10</v>
      </c>
    </row>
    <row r="720" spans="1:12" x14ac:dyDescent="0.25">
      <c r="A720" s="105">
        <v>44987.506944444445</v>
      </c>
      <c r="B720" s="107" t="s">
        <v>1595</v>
      </c>
      <c r="C720" s="99" t="s">
        <v>1557</v>
      </c>
      <c r="D720" s="99" t="s">
        <v>1558</v>
      </c>
      <c r="E720" s="93">
        <v>126</v>
      </c>
      <c r="F720" s="94" t="s">
        <v>1543</v>
      </c>
      <c r="G720" s="95" t="s">
        <v>479</v>
      </c>
      <c r="H720" s="94">
        <v>104888845</v>
      </c>
      <c r="I720" s="101">
        <f t="shared" si="44"/>
        <v>44987.506944444445</v>
      </c>
      <c r="J720" s="102">
        <f t="shared" si="45"/>
        <v>3</v>
      </c>
      <c r="K720" s="103">
        <f t="shared" si="46"/>
        <v>2</v>
      </c>
      <c r="L720" s="83">
        <f t="shared" si="47"/>
        <v>12</v>
      </c>
    </row>
    <row r="721" spans="1:12" x14ac:dyDescent="0.25">
      <c r="A721" s="105">
        <v>44987.720833333333</v>
      </c>
      <c r="B721" s="107" t="s">
        <v>1597</v>
      </c>
      <c r="C721" s="99" t="s">
        <v>1559</v>
      </c>
      <c r="D721" s="99" t="s">
        <v>1560</v>
      </c>
      <c r="E721" s="93">
        <v>254.43</v>
      </c>
      <c r="F721" s="94" t="s">
        <v>1544</v>
      </c>
      <c r="G721" s="95" t="s">
        <v>481</v>
      </c>
      <c r="H721" s="94">
        <v>103754652</v>
      </c>
      <c r="I721" s="101">
        <f t="shared" si="44"/>
        <v>44987.720833333333</v>
      </c>
      <c r="J721" s="102">
        <f t="shared" si="45"/>
        <v>3</v>
      </c>
      <c r="K721" s="103">
        <f t="shared" si="46"/>
        <v>2</v>
      </c>
      <c r="L721" s="83">
        <f t="shared" si="47"/>
        <v>17</v>
      </c>
    </row>
    <row r="722" spans="1:12" x14ac:dyDescent="0.25">
      <c r="A722" s="105">
        <v>44987.501388888886</v>
      </c>
      <c r="B722" s="107" t="s">
        <v>1547</v>
      </c>
      <c r="C722" s="99" t="s">
        <v>1562</v>
      </c>
      <c r="D722" s="99" t="s">
        <v>1563</v>
      </c>
      <c r="E722" s="93">
        <v>70</v>
      </c>
      <c r="F722" s="94" t="s">
        <v>1543</v>
      </c>
      <c r="G722" s="95" t="s">
        <v>483</v>
      </c>
      <c r="H722" s="94">
        <v>102004822</v>
      </c>
      <c r="I722" s="101">
        <f t="shared" si="44"/>
        <v>44987.501388888886</v>
      </c>
      <c r="J722" s="102">
        <f t="shared" si="45"/>
        <v>3</v>
      </c>
      <c r="K722" s="103">
        <f t="shared" si="46"/>
        <v>2</v>
      </c>
      <c r="L722" s="83">
        <f t="shared" si="47"/>
        <v>12</v>
      </c>
    </row>
    <row r="723" spans="1:12" x14ac:dyDescent="0.25">
      <c r="A723" s="105">
        <v>44987.440972222219</v>
      </c>
      <c r="B723" s="107" t="s">
        <v>1554</v>
      </c>
      <c r="C723" s="99" t="s">
        <v>1564</v>
      </c>
      <c r="D723" s="99" t="s">
        <v>1565</v>
      </c>
      <c r="E723" s="93">
        <v>59.81</v>
      </c>
      <c r="F723" s="94" t="s">
        <v>1544</v>
      </c>
      <c r="G723" s="95" t="s">
        <v>485</v>
      </c>
      <c r="H723" s="94">
        <v>103453189</v>
      </c>
      <c r="I723" s="101">
        <f t="shared" si="44"/>
        <v>44987.440972222219</v>
      </c>
      <c r="J723" s="102">
        <f t="shared" si="45"/>
        <v>3</v>
      </c>
      <c r="K723" s="103">
        <f t="shared" si="46"/>
        <v>2</v>
      </c>
      <c r="L723" s="83">
        <f t="shared" si="47"/>
        <v>10</v>
      </c>
    </row>
    <row r="724" spans="1:12" x14ac:dyDescent="0.25">
      <c r="A724" s="105">
        <v>44987.447916666664</v>
      </c>
      <c r="B724" s="107" t="s">
        <v>1561</v>
      </c>
      <c r="C724" s="99" t="s">
        <v>1566</v>
      </c>
      <c r="D724" s="99" t="s">
        <v>1567</v>
      </c>
      <c r="E724" s="93">
        <v>94</v>
      </c>
      <c r="F724" s="94" t="s">
        <v>1543</v>
      </c>
      <c r="G724" s="95" t="s">
        <v>487</v>
      </c>
      <c r="H724" s="94">
        <v>104521840</v>
      </c>
      <c r="I724" s="101">
        <f t="shared" si="44"/>
        <v>44987.447916666664</v>
      </c>
      <c r="J724" s="102">
        <f t="shared" si="45"/>
        <v>3</v>
      </c>
      <c r="K724" s="103">
        <f t="shared" si="46"/>
        <v>2</v>
      </c>
      <c r="L724" s="83">
        <f t="shared" si="47"/>
        <v>10</v>
      </c>
    </row>
    <row r="725" spans="1:12" x14ac:dyDescent="0.25">
      <c r="A725" s="105">
        <v>44987.515277777777</v>
      </c>
      <c r="B725" s="107" t="s">
        <v>1568</v>
      </c>
      <c r="C725" s="99" t="s">
        <v>1569</v>
      </c>
      <c r="D725" s="99" t="s">
        <v>1570</v>
      </c>
      <c r="E725" s="93">
        <v>160</v>
      </c>
      <c r="F725" s="94" t="s">
        <v>1543</v>
      </c>
      <c r="G725" s="95" t="s">
        <v>489</v>
      </c>
      <c r="H725" s="94">
        <v>103160872</v>
      </c>
      <c r="I725" s="101">
        <f t="shared" si="44"/>
        <v>44987.515277777777</v>
      </c>
      <c r="J725" s="102">
        <f t="shared" si="45"/>
        <v>3</v>
      </c>
      <c r="K725" s="103">
        <f t="shared" si="46"/>
        <v>2</v>
      </c>
      <c r="L725" s="83">
        <f t="shared" si="47"/>
        <v>12</v>
      </c>
    </row>
    <row r="726" spans="1:12" x14ac:dyDescent="0.25">
      <c r="A726" s="105">
        <v>44987.775694444441</v>
      </c>
      <c r="B726" s="107" t="s">
        <v>1575</v>
      </c>
      <c r="C726" s="99" t="s">
        <v>1571</v>
      </c>
      <c r="D726" s="99" t="s">
        <v>1572</v>
      </c>
      <c r="E726" s="93">
        <v>88</v>
      </c>
      <c r="F726" s="94" t="s">
        <v>1543</v>
      </c>
      <c r="G726" s="95" t="s">
        <v>491</v>
      </c>
      <c r="H726" s="94">
        <v>105624641</v>
      </c>
      <c r="I726" s="101">
        <f t="shared" si="44"/>
        <v>44987.775694444441</v>
      </c>
      <c r="J726" s="102">
        <f t="shared" si="45"/>
        <v>3</v>
      </c>
      <c r="K726" s="103">
        <f t="shared" si="46"/>
        <v>2</v>
      </c>
      <c r="L726" s="83">
        <f t="shared" si="47"/>
        <v>18</v>
      </c>
    </row>
    <row r="727" spans="1:12" x14ac:dyDescent="0.25">
      <c r="A727" s="105">
        <v>44987.47152777778</v>
      </c>
      <c r="B727" s="107" t="s">
        <v>1582</v>
      </c>
      <c r="C727" s="99" t="s">
        <v>1573</v>
      </c>
      <c r="D727" s="99" t="s">
        <v>1574</v>
      </c>
      <c r="E727" s="93">
        <v>54.38</v>
      </c>
      <c r="F727" s="94" t="s">
        <v>1543</v>
      </c>
      <c r="G727" s="95" t="s">
        <v>493</v>
      </c>
      <c r="H727" s="94">
        <v>103593211</v>
      </c>
      <c r="I727" s="101">
        <f t="shared" si="44"/>
        <v>44987.47152777778</v>
      </c>
      <c r="J727" s="102">
        <f t="shared" si="45"/>
        <v>3</v>
      </c>
      <c r="K727" s="103">
        <f t="shared" si="46"/>
        <v>2</v>
      </c>
      <c r="L727" s="83">
        <f t="shared" si="47"/>
        <v>11</v>
      </c>
    </row>
    <row r="728" spans="1:12" x14ac:dyDescent="0.25">
      <c r="A728" s="105">
        <v>44987.446527777778</v>
      </c>
      <c r="B728" s="107" t="s">
        <v>1586</v>
      </c>
      <c r="C728" s="99" t="s">
        <v>1576</v>
      </c>
      <c r="D728" s="99" t="s">
        <v>1577</v>
      </c>
      <c r="E728" s="93">
        <v>83</v>
      </c>
      <c r="F728" s="94" t="s">
        <v>1543</v>
      </c>
      <c r="G728" s="95" t="s">
        <v>495</v>
      </c>
      <c r="H728" s="94">
        <v>105585542</v>
      </c>
      <c r="I728" s="101">
        <f t="shared" si="44"/>
        <v>44987.446527777778</v>
      </c>
      <c r="J728" s="102">
        <f t="shared" si="45"/>
        <v>3</v>
      </c>
      <c r="K728" s="103">
        <f t="shared" si="46"/>
        <v>2</v>
      </c>
      <c r="L728" s="83">
        <f t="shared" si="47"/>
        <v>10</v>
      </c>
    </row>
    <row r="729" spans="1:12" x14ac:dyDescent="0.25">
      <c r="A729" s="105">
        <v>44987.71875</v>
      </c>
      <c r="B729" s="107" t="s">
        <v>1589</v>
      </c>
      <c r="C729" s="99" t="s">
        <v>1578</v>
      </c>
      <c r="D729" s="99" t="s">
        <v>1579</v>
      </c>
      <c r="E729" s="93">
        <v>55</v>
      </c>
      <c r="F729" s="94" t="s">
        <v>1543</v>
      </c>
      <c r="G729" s="95" t="s">
        <v>498</v>
      </c>
      <c r="H729" s="94">
        <v>104328491</v>
      </c>
      <c r="I729" s="101">
        <f t="shared" si="44"/>
        <v>44987.71875</v>
      </c>
      <c r="J729" s="102">
        <f t="shared" si="45"/>
        <v>3</v>
      </c>
      <c r="K729" s="103">
        <f t="shared" si="46"/>
        <v>2</v>
      </c>
      <c r="L729" s="83">
        <f t="shared" si="47"/>
        <v>17</v>
      </c>
    </row>
    <row r="730" spans="1:12" x14ac:dyDescent="0.25">
      <c r="A730" s="105">
        <v>44987.64166666667</v>
      </c>
      <c r="B730" s="107" t="s">
        <v>1590</v>
      </c>
      <c r="C730" s="99" t="s">
        <v>1580</v>
      </c>
      <c r="D730" s="99" t="s">
        <v>1581</v>
      </c>
      <c r="E730" s="93">
        <v>84.94</v>
      </c>
      <c r="F730" s="94" t="s">
        <v>1543</v>
      </c>
      <c r="G730" s="95" t="s">
        <v>500</v>
      </c>
      <c r="H730" s="94">
        <v>104987411</v>
      </c>
      <c r="I730" s="101">
        <f t="shared" si="44"/>
        <v>44987.64166666667</v>
      </c>
      <c r="J730" s="102">
        <f t="shared" si="45"/>
        <v>3</v>
      </c>
      <c r="K730" s="103">
        <f t="shared" si="46"/>
        <v>2</v>
      </c>
      <c r="L730" s="83">
        <f t="shared" si="47"/>
        <v>15</v>
      </c>
    </row>
    <row r="731" spans="1:12" x14ac:dyDescent="0.25">
      <c r="A731" s="105">
        <v>44987.789583333331</v>
      </c>
      <c r="B731" s="107" t="s">
        <v>1591</v>
      </c>
      <c r="C731" s="99" t="s">
        <v>1548</v>
      </c>
      <c r="D731" s="99" t="s">
        <v>1549</v>
      </c>
      <c r="E731" s="93">
        <v>250</v>
      </c>
      <c r="F731" s="94" t="s">
        <v>1543</v>
      </c>
      <c r="G731" s="95" t="s">
        <v>502</v>
      </c>
      <c r="H731" s="94">
        <v>104604595</v>
      </c>
      <c r="I731" s="101">
        <f t="shared" si="44"/>
        <v>44987.789583333331</v>
      </c>
      <c r="J731" s="102">
        <f t="shared" si="45"/>
        <v>3</v>
      </c>
      <c r="K731" s="103">
        <f t="shared" si="46"/>
        <v>2</v>
      </c>
      <c r="L731" s="83">
        <f t="shared" si="47"/>
        <v>18</v>
      </c>
    </row>
    <row r="732" spans="1:12" x14ac:dyDescent="0.25">
      <c r="A732" s="105">
        <v>44987.648611111108</v>
      </c>
      <c r="B732" s="107" t="s">
        <v>1592</v>
      </c>
      <c r="C732" s="99" t="s">
        <v>1583</v>
      </c>
      <c r="D732" s="99" t="s">
        <v>1574</v>
      </c>
      <c r="E732" s="93">
        <v>80.87</v>
      </c>
      <c r="F732" s="94" t="s">
        <v>1543</v>
      </c>
      <c r="G732" s="95" t="s">
        <v>504</v>
      </c>
      <c r="H732" s="94">
        <v>100154578</v>
      </c>
      <c r="I732" s="101">
        <f t="shared" si="44"/>
        <v>44987.648611111108</v>
      </c>
      <c r="J732" s="102">
        <f t="shared" si="45"/>
        <v>3</v>
      </c>
      <c r="K732" s="103">
        <f t="shared" si="46"/>
        <v>2</v>
      </c>
      <c r="L732" s="83">
        <f t="shared" si="47"/>
        <v>15</v>
      </c>
    </row>
    <row r="733" spans="1:12" x14ac:dyDescent="0.25">
      <c r="A733" s="105">
        <v>44987.497916666667</v>
      </c>
      <c r="B733" s="107" t="s">
        <v>1593</v>
      </c>
      <c r="C733" s="99" t="s">
        <v>1584</v>
      </c>
      <c r="D733" s="99" t="s">
        <v>1585</v>
      </c>
      <c r="E733" s="93">
        <v>105</v>
      </c>
      <c r="F733" s="94" t="s">
        <v>1543</v>
      </c>
      <c r="G733" s="95" t="s">
        <v>506</v>
      </c>
      <c r="H733" s="94">
        <v>104637144</v>
      </c>
      <c r="I733" s="101">
        <f t="shared" si="44"/>
        <v>44987.497916666667</v>
      </c>
      <c r="J733" s="102">
        <f t="shared" si="45"/>
        <v>3</v>
      </c>
      <c r="K733" s="103">
        <f t="shared" si="46"/>
        <v>2</v>
      </c>
      <c r="L733" s="83">
        <f t="shared" si="47"/>
        <v>11</v>
      </c>
    </row>
    <row r="734" spans="1:12" x14ac:dyDescent="0.25">
      <c r="A734" s="105">
        <v>44987.451388888891</v>
      </c>
      <c r="B734" s="107" t="s">
        <v>1594</v>
      </c>
      <c r="C734" s="99" t="s">
        <v>1557</v>
      </c>
      <c r="D734" s="99" t="s">
        <v>1558</v>
      </c>
      <c r="E734" s="93">
        <v>123</v>
      </c>
      <c r="F734" s="94" t="s">
        <v>1543</v>
      </c>
      <c r="G734" s="95" t="s">
        <v>508</v>
      </c>
      <c r="H734" s="94">
        <v>102794775</v>
      </c>
      <c r="I734" s="101">
        <f t="shared" si="44"/>
        <v>44987.451388888891</v>
      </c>
      <c r="J734" s="102">
        <f t="shared" si="45"/>
        <v>3</v>
      </c>
      <c r="K734" s="103">
        <f t="shared" si="46"/>
        <v>2</v>
      </c>
      <c r="L734" s="83">
        <f t="shared" si="47"/>
        <v>10</v>
      </c>
    </row>
    <row r="735" spans="1:12" x14ac:dyDescent="0.25">
      <c r="A735" s="105">
        <v>44987.49722222222</v>
      </c>
      <c r="B735" s="107" t="s">
        <v>1595</v>
      </c>
      <c r="C735" s="99" t="s">
        <v>1587</v>
      </c>
      <c r="D735" s="99" t="s">
        <v>1588</v>
      </c>
      <c r="E735" s="93">
        <v>25.71</v>
      </c>
      <c r="F735" s="94" t="s">
        <v>1543</v>
      </c>
      <c r="G735" s="95" t="s">
        <v>510</v>
      </c>
      <c r="H735" s="94">
        <v>105559625</v>
      </c>
      <c r="I735" s="101">
        <f t="shared" si="44"/>
        <v>44987.49722222222</v>
      </c>
      <c r="J735" s="102">
        <f t="shared" si="45"/>
        <v>3</v>
      </c>
      <c r="K735" s="103">
        <f t="shared" si="46"/>
        <v>2</v>
      </c>
      <c r="L735" s="83">
        <f t="shared" si="47"/>
        <v>11</v>
      </c>
    </row>
    <row r="736" spans="1:12" x14ac:dyDescent="0.25">
      <c r="A736" s="105">
        <v>44987.459722222222</v>
      </c>
      <c r="B736" s="107" t="s">
        <v>1597</v>
      </c>
      <c r="C736" s="99" t="s">
        <v>1564</v>
      </c>
      <c r="D736" s="99" t="s">
        <v>1565</v>
      </c>
      <c r="E736" s="93">
        <v>109</v>
      </c>
      <c r="F736" s="94" t="s">
        <v>1543</v>
      </c>
      <c r="G736" s="95" t="s">
        <v>512</v>
      </c>
      <c r="H736" s="94">
        <v>105483927</v>
      </c>
      <c r="I736" s="101">
        <f t="shared" si="44"/>
        <v>44987.459722222222</v>
      </c>
      <c r="J736" s="102">
        <f t="shared" si="45"/>
        <v>3</v>
      </c>
      <c r="K736" s="103">
        <f t="shared" si="46"/>
        <v>2</v>
      </c>
      <c r="L736" s="83">
        <f t="shared" si="47"/>
        <v>11</v>
      </c>
    </row>
    <row r="737" spans="1:12" x14ac:dyDescent="0.25">
      <c r="A737" s="105">
        <v>44987.480555555558</v>
      </c>
      <c r="B737" s="107" t="s">
        <v>1547</v>
      </c>
      <c r="C737" s="99" t="s">
        <v>1548</v>
      </c>
      <c r="D737" s="99" t="s">
        <v>1549</v>
      </c>
      <c r="E737" s="93">
        <v>565.23</v>
      </c>
      <c r="F737" s="94" t="s">
        <v>1543</v>
      </c>
      <c r="G737" s="95" t="s">
        <v>514</v>
      </c>
      <c r="H737" s="94">
        <v>103096781</v>
      </c>
      <c r="I737" s="101">
        <f t="shared" si="44"/>
        <v>44987.480555555558</v>
      </c>
      <c r="J737" s="102">
        <f t="shared" si="45"/>
        <v>3</v>
      </c>
      <c r="K737" s="103">
        <f t="shared" si="46"/>
        <v>2</v>
      </c>
      <c r="L737" s="83">
        <f t="shared" si="47"/>
        <v>11</v>
      </c>
    </row>
    <row r="738" spans="1:12" x14ac:dyDescent="0.25">
      <c r="A738" s="105">
        <v>44987.456944444442</v>
      </c>
      <c r="B738" s="107" t="s">
        <v>1554</v>
      </c>
      <c r="C738" s="99" t="s">
        <v>1550</v>
      </c>
      <c r="D738" s="99" t="s">
        <v>1551</v>
      </c>
      <c r="E738" s="93">
        <v>117.91</v>
      </c>
      <c r="F738" s="94" t="s">
        <v>1543</v>
      </c>
      <c r="G738" s="95" t="s">
        <v>516</v>
      </c>
      <c r="H738" s="94">
        <v>104908676</v>
      </c>
      <c r="I738" s="101">
        <f t="shared" si="44"/>
        <v>44987.456944444442</v>
      </c>
      <c r="J738" s="102">
        <f t="shared" si="45"/>
        <v>3</v>
      </c>
      <c r="K738" s="103">
        <f t="shared" si="46"/>
        <v>2</v>
      </c>
      <c r="L738" s="83">
        <f t="shared" si="47"/>
        <v>10</v>
      </c>
    </row>
    <row r="739" spans="1:12" x14ac:dyDescent="0.25">
      <c r="A739" s="105">
        <v>44987.435416666667</v>
      </c>
      <c r="B739" s="107" t="s">
        <v>1561</v>
      </c>
      <c r="C739" s="99" t="s">
        <v>1562</v>
      </c>
      <c r="D739" s="99" t="s">
        <v>1563</v>
      </c>
      <c r="E739" s="93">
        <v>73.06</v>
      </c>
      <c r="F739" s="94" t="s">
        <v>1543</v>
      </c>
      <c r="G739" s="95" t="s">
        <v>518</v>
      </c>
      <c r="H739" s="94">
        <v>105563778</v>
      </c>
      <c r="I739" s="101">
        <f t="shared" si="44"/>
        <v>44987.435416666667</v>
      </c>
      <c r="J739" s="102">
        <f t="shared" si="45"/>
        <v>3</v>
      </c>
      <c r="K739" s="103">
        <f t="shared" si="46"/>
        <v>2</v>
      </c>
      <c r="L739" s="83">
        <f t="shared" si="47"/>
        <v>10</v>
      </c>
    </row>
    <row r="740" spans="1:12" x14ac:dyDescent="0.25">
      <c r="A740" s="105">
        <v>44987.674305555556</v>
      </c>
      <c r="B740" s="107" t="s">
        <v>1568</v>
      </c>
      <c r="C740" s="99" t="s">
        <v>1552</v>
      </c>
      <c r="D740" s="99" t="s">
        <v>1553</v>
      </c>
      <c r="E740" s="93">
        <v>55.98</v>
      </c>
      <c r="F740" s="94" t="s">
        <v>1543</v>
      </c>
      <c r="G740" s="95" t="s">
        <v>520</v>
      </c>
      <c r="H740" s="94">
        <v>105395153</v>
      </c>
      <c r="I740" s="101">
        <f t="shared" si="44"/>
        <v>44987.674305555556</v>
      </c>
      <c r="J740" s="102">
        <f t="shared" si="45"/>
        <v>3</v>
      </c>
      <c r="K740" s="103">
        <f t="shared" si="46"/>
        <v>2</v>
      </c>
      <c r="L740" s="83">
        <f t="shared" si="47"/>
        <v>16</v>
      </c>
    </row>
    <row r="741" spans="1:12" x14ac:dyDescent="0.25">
      <c r="A741" s="105">
        <v>44987.588194444441</v>
      </c>
      <c r="B741" s="107" t="s">
        <v>1575</v>
      </c>
      <c r="C741" s="99" t="s">
        <v>1555</v>
      </c>
      <c r="D741" s="99" t="s">
        <v>1556</v>
      </c>
      <c r="E741" s="93">
        <v>50</v>
      </c>
      <c r="F741" s="94" t="s">
        <v>1543</v>
      </c>
      <c r="G741" s="95" t="s">
        <v>522</v>
      </c>
      <c r="H741" s="94">
        <v>105030994</v>
      </c>
      <c r="I741" s="101">
        <f t="shared" si="44"/>
        <v>44987.588194444441</v>
      </c>
      <c r="J741" s="102">
        <f t="shared" si="45"/>
        <v>3</v>
      </c>
      <c r="K741" s="103">
        <f t="shared" si="46"/>
        <v>2</v>
      </c>
      <c r="L741" s="83">
        <f t="shared" si="47"/>
        <v>14</v>
      </c>
    </row>
    <row r="742" spans="1:12" x14ac:dyDescent="0.25">
      <c r="A742" s="105">
        <v>44987.474305555559</v>
      </c>
      <c r="B742" s="107" t="s">
        <v>1582</v>
      </c>
      <c r="C742" s="99" t="s">
        <v>1559</v>
      </c>
      <c r="D742" s="99" t="s">
        <v>1560</v>
      </c>
      <c r="E742" s="93">
        <v>14.92</v>
      </c>
      <c r="F742" s="94" t="s">
        <v>1543</v>
      </c>
      <c r="G742" s="95" t="s">
        <v>525</v>
      </c>
      <c r="H742" s="94">
        <v>105705054</v>
      </c>
      <c r="I742" s="101">
        <f t="shared" si="44"/>
        <v>44987.474305555559</v>
      </c>
      <c r="J742" s="102">
        <f t="shared" si="45"/>
        <v>3</v>
      </c>
      <c r="K742" s="103">
        <f t="shared" si="46"/>
        <v>2</v>
      </c>
      <c r="L742" s="83">
        <f t="shared" si="47"/>
        <v>11</v>
      </c>
    </row>
    <row r="743" spans="1:12" x14ac:dyDescent="0.25">
      <c r="A743" s="105">
        <v>44987.685416666667</v>
      </c>
      <c r="B743" s="107" t="s">
        <v>1586</v>
      </c>
      <c r="C743" s="99" t="s">
        <v>1548</v>
      </c>
      <c r="D743" s="99" t="s">
        <v>1549</v>
      </c>
      <c r="E743" s="93">
        <v>225.6</v>
      </c>
      <c r="F743" s="94" t="s">
        <v>1544</v>
      </c>
      <c r="G743" s="95" t="s">
        <v>527</v>
      </c>
      <c r="H743" s="94">
        <v>105325489</v>
      </c>
      <c r="I743" s="101">
        <f t="shared" si="44"/>
        <v>44987.685416666667</v>
      </c>
      <c r="J743" s="102">
        <f t="shared" si="45"/>
        <v>3</v>
      </c>
      <c r="K743" s="103">
        <f t="shared" si="46"/>
        <v>2</v>
      </c>
      <c r="L743" s="83">
        <f t="shared" si="47"/>
        <v>16</v>
      </c>
    </row>
    <row r="744" spans="1:12" x14ac:dyDescent="0.25">
      <c r="A744" s="105">
        <v>44987.569444444445</v>
      </c>
      <c r="B744" s="107" t="s">
        <v>1589</v>
      </c>
      <c r="C744" s="99" t="s">
        <v>1566</v>
      </c>
      <c r="D744" s="99" t="s">
        <v>1567</v>
      </c>
      <c r="E744" s="93">
        <v>41.77</v>
      </c>
      <c r="F744" s="94" t="s">
        <v>1544</v>
      </c>
      <c r="G744" s="95" t="s">
        <v>529</v>
      </c>
      <c r="H744" s="94">
        <v>104965801</v>
      </c>
      <c r="I744" s="101">
        <f t="shared" si="44"/>
        <v>44987.569444444445</v>
      </c>
      <c r="J744" s="102">
        <f t="shared" si="45"/>
        <v>3</v>
      </c>
      <c r="K744" s="103">
        <f t="shared" si="46"/>
        <v>2</v>
      </c>
      <c r="L744" s="83">
        <f t="shared" si="47"/>
        <v>13</v>
      </c>
    </row>
    <row r="745" spans="1:12" x14ac:dyDescent="0.25">
      <c r="A745" s="105">
        <v>44987.61041666667</v>
      </c>
      <c r="B745" s="107" t="s">
        <v>1590</v>
      </c>
      <c r="C745" s="99" t="s">
        <v>1564</v>
      </c>
      <c r="D745" s="99" t="s">
        <v>1565</v>
      </c>
      <c r="E745" s="93">
        <v>100</v>
      </c>
      <c r="F745" s="94" t="s">
        <v>1544</v>
      </c>
      <c r="G745" s="95" t="s">
        <v>531</v>
      </c>
      <c r="H745" s="94">
        <v>105201525</v>
      </c>
      <c r="I745" s="101">
        <f t="shared" si="44"/>
        <v>44987.61041666667</v>
      </c>
      <c r="J745" s="102">
        <f t="shared" si="45"/>
        <v>3</v>
      </c>
      <c r="K745" s="103">
        <f t="shared" si="46"/>
        <v>2</v>
      </c>
      <c r="L745" s="83">
        <f t="shared" si="47"/>
        <v>14</v>
      </c>
    </row>
    <row r="746" spans="1:12" x14ac:dyDescent="0.25">
      <c r="A746" s="105">
        <v>44987.434027777781</v>
      </c>
      <c r="B746" s="107" t="s">
        <v>1591</v>
      </c>
      <c r="C746" s="99" t="s">
        <v>1548</v>
      </c>
      <c r="D746" s="99" t="s">
        <v>1549</v>
      </c>
      <c r="E746" s="93">
        <v>39.340000000000003</v>
      </c>
      <c r="F746" s="94" t="s">
        <v>1543</v>
      </c>
      <c r="G746" s="95" t="s">
        <v>533</v>
      </c>
      <c r="H746" s="94">
        <v>105196970</v>
      </c>
      <c r="I746" s="101">
        <f t="shared" si="44"/>
        <v>44987.434027777781</v>
      </c>
      <c r="J746" s="102">
        <f t="shared" si="45"/>
        <v>3</v>
      </c>
      <c r="K746" s="103">
        <f t="shared" si="46"/>
        <v>2</v>
      </c>
      <c r="L746" s="83">
        <f t="shared" si="47"/>
        <v>10</v>
      </c>
    </row>
    <row r="747" spans="1:12" x14ac:dyDescent="0.25">
      <c r="A747" s="105">
        <v>44987.686805555553</v>
      </c>
      <c r="B747" s="107" t="s">
        <v>1592</v>
      </c>
      <c r="C747" s="99" t="s">
        <v>1550</v>
      </c>
      <c r="D747" s="99" t="s">
        <v>1551</v>
      </c>
      <c r="E747" s="93">
        <v>125.6</v>
      </c>
      <c r="F747" s="94" t="s">
        <v>1543</v>
      </c>
      <c r="G747" s="95" t="s">
        <v>535</v>
      </c>
      <c r="H747" s="94">
        <v>105325489</v>
      </c>
      <c r="I747" s="101">
        <f t="shared" si="44"/>
        <v>44987.686805555553</v>
      </c>
      <c r="J747" s="102">
        <f t="shared" si="45"/>
        <v>3</v>
      </c>
      <c r="K747" s="103">
        <f t="shared" si="46"/>
        <v>2</v>
      </c>
      <c r="L747" s="83">
        <f t="shared" si="47"/>
        <v>16</v>
      </c>
    </row>
    <row r="748" spans="1:12" x14ac:dyDescent="0.25">
      <c r="A748" s="105">
        <v>44987.436111111114</v>
      </c>
      <c r="B748" s="107" t="s">
        <v>1593</v>
      </c>
      <c r="C748" s="99" t="s">
        <v>1557</v>
      </c>
      <c r="D748" s="99" t="s">
        <v>1558</v>
      </c>
      <c r="E748" s="93">
        <v>20</v>
      </c>
      <c r="F748" s="94" t="s">
        <v>1543</v>
      </c>
      <c r="G748" s="95" t="s">
        <v>537</v>
      </c>
      <c r="H748" s="94">
        <v>104843443</v>
      </c>
      <c r="I748" s="101">
        <f t="shared" si="44"/>
        <v>44987.436111111114</v>
      </c>
      <c r="J748" s="102">
        <f t="shared" si="45"/>
        <v>3</v>
      </c>
      <c r="K748" s="103">
        <f t="shared" si="46"/>
        <v>2</v>
      </c>
      <c r="L748" s="83">
        <f t="shared" si="47"/>
        <v>10</v>
      </c>
    </row>
    <row r="749" spans="1:12" x14ac:dyDescent="0.25">
      <c r="A749" s="105">
        <v>44987.439583333333</v>
      </c>
      <c r="B749" s="107" t="s">
        <v>1594</v>
      </c>
      <c r="C749" s="99" t="s">
        <v>1562</v>
      </c>
      <c r="D749" s="99" t="s">
        <v>1563</v>
      </c>
      <c r="E749" s="93">
        <v>80</v>
      </c>
      <c r="F749" s="94" t="s">
        <v>1543</v>
      </c>
      <c r="G749" s="95" t="s">
        <v>13</v>
      </c>
      <c r="H749" s="94">
        <v>105469474</v>
      </c>
      <c r="I749" s="101">
        <f t="shared" si="44"/>
        <v>44987.439583333333</v>
      </c>
      <c r="J749" s="102">
        <f t="shared" si="45"/>
        <v>3</v>
      </c>
      <c r="K749" s="103">
        <f t="shared" si="46"/>
        <v>2</v>
      </c>
      <c r="L749" s="83">
        <f t="shared" si="47"/>
        <v>10</v>
      </c>
    </row>
    <row r="750" spans="1:12" x14ac:dyDescent="0.25">
      <c r="A750" s="105">
        <v>44987.6</v>
      </c>
      <c r="B750" s="107" t="s">
        <v>1595</v>
      </c>
      <c r="C750" s="99" t="s">
        <v>1576</v>
      </c>
      <c r="D750" s="99" t="s">
        <v>1577</v>
      </c>
      <c r="E750" s="93">
        <v>150</v>
      </c>
      <c r="F750" s="94" t="s">
        <v>1543</v>
      </c>
      <c r="G750" s="95" t="s">
        <v>18</v>
      </c>
      <c r="H750" s="94">
        <v>100986105</v>
      </c>
      <c r="I750" s="101">
        <f t="shared" si="44"/>
        <v>44987.6</v>
      </c>
      <c r="J750" s="102">
        <f t="shared" si="45"/>
        <v>3</v>
      </c>
      <c r="K750" s="103">
        <f t="shared" si="46"/>
        <v>2</v>
      </c>
      <c r="L750" s="83">
        <f t="shared" si="47"/>
        <v>14</v>
      </c>
    </row>
    <row r="751" spans="1:12" x14ac:dyDescent="0.25">
      <c r="A751" s="105">
        <v>44987.647222222222</v>
      </c>
      <c r="B751" s="107" t="s">
        <v>1597</v>
      </c>
      <c r="C751" s="99" t="s">
        <v>1569</v>
      </c>
      <c r="D751" s="99" t="s">
        <v>1570</v>
      </c>
      <c r="E751" s="93">
        <v>400</v>
      </c>
      <c r="F751" s="94" t="s">
        <v>1543</v>
      </c>
      <c r="G751" s="95" t="s">
        <v>20</v>
      </c>
      <c r="H751" s="94">
        <v>105259720</v>
      </c>
      <c r="I751" s="101">
        <f t="shared" si="44"/>
        <v>44987.647222222222</v>
      </c>
      <c r="J751" s="102">
        <f t="shared" si="45"/>
        <v>3</v>
      </c>
      <c r="K751" s="103">
        <f t="shared" si="46"/>
        <v>2</v>
      </c>
      <c r="L751" s="83">
        <f t="shared" si="47"/>
        <v>15</v>
      </c>
    </row>
    <row r="752" spans="1:12" x14ac:dyDescent="0.25">
      <c r="A752" s="105">
        <v>44987.512499999997</v>
      </c>
      <c r="B752" s="107" t="s">
        <v>1547</v>
      </c>
      <c r="C752" s="99" t="s">
        <v>1548</v>
      </c>
      <c r="D752" s="99" t="s">
        <v>1549</v>
      </c>
      <c r="E752" s="93">
        <v>61.61</v>
      </c>
      <c r="F752" s="94" t="s">
        <v>1543</v>
      </c>
      <c r="G752" s="95" t="s">
        <v>22</v>
      </c>
      <c r="H752" s="94">
        <v>105675191</v>
      </c>
      <c r="I752" s="101">
        <f t="shared" si="44"/>
        <v>44987.512499999997</v>
      </c>
      <c r="J752" s="102">
        <f t="shared" si="45"/>
        <v>3</v>
      </c>
      <c r="K752" s="103">
        <f t="shared" si="46"/>
        <v>2</v>
      </c>
      <c r="L752" s="83">
        <f t="shared" si="47"/>
        <v>12</v>
      </c>
    </row>
    <row r="753" spans="1:12" x14ac:dyDescent="0.25">
      <c r="A753" s="105">
        <v>44987.693749999999</v>
      </c>
      <c r="B753" s="107" t="s">
        <v>1554</v>
      </c>
      <c r="C753" s="99" t="s">
        <v>1559</v>
      </c>
      <c r="D753" s="99" t="s">
        <v>1560</v>
      </c>
      <c r="E753" s="93">
        <v>139.87</v>
      </c>
      <c r="F753" s="94" t="s">
        <v>1543</v>
      </c>
      <c r="G753" s="95" t="s">
        <v>24</v>
      </c>
      <c r="H753" s="94">
        <v>105228911</v>
      </c>
      <c r="I753" s="101">
        <f t="shared" si="44"/>
        <v>44987.693749999999</v>
      </c>
      <c r="J753" s="102">
        <f t="shared" si="45"/>
        <v>3</v>
      </c>
      <c r="K753" s="103">
        <f t="shared" si="46"/>
        <v>2</v>
      </c>
      <c r="L753" s="83">
        <f t="shared" si="47"/>
        <v>16</v>
      </c>
    </row>
    <row r="754" spans="1:12" x14ac:dyDescent="0.25">
      <c r="A754" s="105">
        <v>44987.621527777781</v>
      </c>
      <c r="B754" s="107" t="s">
        <v>1561</v>
      </c>
      <c r="C754" s="99" t="s">
        <v>1571</v>
      </c>
      <c r="D754" s="99" t="s">
        <v>1572</v>
      </c>
      <c r="E754" s="93">
        <v>40</v>
      </c>
      <c r="F754" s="94" t="s">
        <v>1543</v>
      </c>
      <c r="G754" s="95" t="s">
        <v>26</v>
      </c>
      <c r="H754" s="94">
        <v>103334373</v>
      </c>
      <c r="I754" s="101">
        <f t="shared" si="44"/>
        <v>44987.621527777781</v>
      </c>
      <c r="J754" s="102">
        <f t="shared" si="45"/>
        <v>3</v>
      </c>
      <c r="K754" s="103">
        <f t="shared" si="46"/>
        <v>2</v>
      </c>
      <c r="L754" s="83">
        <f t="shared" si="47"/>
        <v>14</v>
      </c>
    </row>
    <row r="755" spans="1:12" x14ac:dyDescent="0.25">
      <c r="A755" s="105">
        <v>44987.441666666666</v>
      </c>
      <c r="B755" s="107" t="s">
        <v>1568</v>
      </c>
      <c r="C755" s="99" t="s">
        <v>1550</v>
      </c>
      <c r="D755" s="99" t="s">
        <v>1551</v>
      </c>
      <c r="E755" s="93">
        <v>143</v>
      </c>
      <c r="F755" s="94" t="s">
        <v>1544</v>
      </c>
      <c r="G755" s="95" t="s">
        <v>28</v>
      </c>
      <c r="H755" s="94">
        <v>104493880</v>
      </c>
      <c r="I755" s="101">
        <f t="shared" si="44"/>
        <v>44987.441666666666</v>
      </c>
      <c r="J755" s="102">
        <f t="shared" si="45"/>
        <v>3</v>
      </c>
      <c r="K755" s="103">
        <f t="shared" si="46"/>
        <v>2</v>
      </c>
      <c r="L755" s="83">
        <f t="shared" si="47"/>
        <v>10</v>
      </c>
    </row>
    <row r="756" spans="1:12" x14ac:dyDescent="0.25">
      <c r="A756" s="105">
        <v>44987.73541666667</v>
      </c>
      <c r="B756" s="107" t="s">
        <v>1575</v>
      </c>
      <c r="C756" s="99" t="s">
        <v>1557</v>
      </c>
      <c r="D756" s="99" t="s">
        <v>1558</v>
      </c>
      <c r="E756" s="93">
        <v>145.36000000000001</v>
      </c>
      <c r="F756" s="94" t="s">
        <v>1543</v>
      </c>
      <c r="G756" s="95" t="s">
        <v>30</v>
      </c>
      <c r="H756" s="94">
        <v>104228025</v>
      </c>
      <c r="I756" s="101">
        <f t="shared" si="44"/>
        <v>44987.73541666667</v>
      </c>
      <c r="J756" s="102">
        <f t="shared" si="45"/>
        <v>3</v>
      </c>
      <c r="K756" s="103">
        <f t="shared" si="46"/>
        <v>2</v>
      </c>
      <c r="L756" s="83">
        <f t="shared" si="47"/>
        <v>17</v>
      </c>
    </row>
    <row r="757" spans="1:12" x14ac:dyDescent="0.25">
      <c r="A757" s="105">
        <v>44987.570833333331</v>
      </c>
      <c r="B757" s="107" t="s">
        <v>1582</v>
      </c>
      <c r="C757" s="99" t="s">
        <v>1555</v>
      </c>
      <c r="D757" s="99" t="s">
        <v>1556</v>
      </c>
      <c r="E757" s="93">
        <v>20.77</v>
      </c>
      <c r="F757" s="94" t="s">
        <v>1544</v>
      </c>
      <c r="G757" s="95" t="s">
        <v>32</v>
      </c>
      <c r="H757" s="94">
        <v>104965801</v>
      </c>
      <c r="I757" s="101">
        <f t="shared" si="44"/>
        <v>44987.570833333331</v>
      </c>
      <c r="J757" s="102">
        <f t="shared" si="45"/>
        <v>3</v>
      </c>
      <c r="K757" s="103">
        <f t="shared" si="46"/>
        <v>2</v>
      </c>
      <c r="L757" s="83">
        <f t="shared" si="47"/>
        <v>13</v>
      </c>
    </row>
    <row r="758" spans="1:12" x14ac:dyDescent="0.25">
      <c r="A758" s="105">
        <v>44987.723611111112</v>
      </c>
      <c r="B758" s="107" t="s">
        <v>1586</v>
      </c>
      <c r="C758" s="99" t="s">
        <v>1548</v>
      </c>
      <c r="D758" s="99" t="s">
        <v>1549</v>
      </c>
      <c r="E758" s="93">
        <v>100</v>
      </c>
      <c r="F758" s="94" t="s">
        <v>1543</v>
      </c>
      <c r="G758" s="95" t="s">
        <v>34</v>
      </c>
      <c r="H758" s="94">
        <v>103754652</v>
      </c>
      <c r="I758" s="101">
        <f t="shared" si="44"/>
        <v>44987.723611111112</v>
      </c>
      <c r="J758" s="102">
        <f t="shared" si="45"/>
        <v>3</v>
      </c>
      <c r="K758" s="103">
        <f t="shared" si="46"/>
        <v>2</v>
      </c>
      <c r="L758" s="83">
        <f t="shared" si="47"/>
        <v>17</v>
      </c>
    </row>
    <row r="759" spans="1:12" x14ac:dyDescent="0.25">
      <c r="A759" s="105">
        <v>44987.431944444441</v>
      </c>
      <c r="B759" s="107" t="s">
        <v>1589</v>
      </c>
      <c r="C759" s="99" t="s">
        <v>1550</v>
      </c>
      <c r="D759" s="99" t="s">
        <v>1551</v>
      </c>
      <c r="E759" s="93">
        <v>96.79</v>
      </c>
      <c r="F759" s="94" t="s">
        <v>1543</v>
      </c>
      <c r="G759" s="95" t="s">
        <v>37</v>
      </c>
      <c r="H759" s="94">
        <v>104311652</v>
      </c>
      <c r="I759" s="101">
        <f t="shared" si="44"/>
        <v>44987.431944444441</v>
      </c>
      <c r="J759" s="102">
        <f t="shared" si="45"/>
        <v>3</v>
      </c>
      <c r="K759" s="103">
        <f t="shared" si="46"/>
        <v>2</v>
      </c>
      <c r="L759" s="83">
        <f t="shared" si="47"/>
        <v>10</v>
      </c>
    </row>
    <row r="760" spans="1:12" x14ac:dyDescent="0.25">
      <c r="A760" s="105">
        <v>44987.459722222222</v>
      </c>
      <c r="B760" s="107" t="s">
        <v>1590</v>
      </c>
      <c r="C760" s="99" t="s">
        <v>1552</v>
      </c>
      <c r="D760" s="99" t="s">
        <v>1553</v>
      </c>
      <c r="E760" s="93">
        <v>95</v>
      </c>
      <c r="F760" s="94" t="s">
        <v>1543</v>
      </c>
      <c r="G760" s="95" t="s">
        <v>39</v>
      </c>
      <c r="H760" s="94">
        <v>103781003</v>
      </c>
      <c r="I760" s="101">
        <f t="shared" si="44"/>
        <v>44987.459722222222</v>
      </c>
      <c r="J760" s="102">
        <f t="shared" si="45"/>
        <v>3</v>
      </c>
      <c r="K760" s="103">
        <f t="shared" si="46"/>
        <v>2</v>
      </c>
      <c r="L760" s="83">
        <f t="shared" si="47"/>
        <v>11</v>
      </c>
    </row>
    <row r="761" spans="1:12" x14ac:dyDescent="0.25">
      <c r="A761" s="105">
        <v>44987.601388888892</v>
      </c>
      <c r="B761" s="107" t="s">
        <v>1591</v>
      </c>
      <c r="C761" s="99" t="s">
        <v>1555</v>
      </c>
      <c r="D761" s="99" t="s">
        <v>1556</v>
      </c>
      <c r="E761" s="93">
        <v>78.72</v>
      </c>
      <c r="F761" s="94" t="s">
        <v>1543</v>
      </c>
      <c r="G761" s="95" t="s">
        <v>41</v>
      </c>
      <c r="H761" s="94">
        <v>101711837</v>
      </c>
      <c r="I761" s="101">
        <f t="shared" si="44"/>
        <v>44987.601388888892</v>
      </c>
      <c r="J761" s="102">
        <f t="shared" si="45"/>
        <v>3</v>
      </c>
      <c r="K761" s="103">
        <f t="shared" si="46"/>
        <v>2</v>
      </c>
      <c r="L761" s="83">
        <f t="shared" si="47"/>
        <v>14</v>
      </c>
    </row>
    <row r="762" spans="1:12" x14ac:dyDescent="0.25">
      <c r="A762" s="105">
        <v>44987.77847222222</v>
      </c>
      <c r="B762" s="107" t="s">
        <v>1592</v>
      </c>
      <c r="C762" s="99" t="s">
        <v>1557</v>
      </c>
      <c r="D762" s="99" t="s">
        <v>1558</v>
      </c>
      <c r="E762" s="93">
        <v>16.13</v>
      </c>
      <c r="F762" s="94" t="s">
        <v>1544</v>
      </c>
      <c r="G762" s="95" t="s">
        <v>43</v>
      </c>
      <c r="H762" s="94">
        <v>105699908</v>
      </c>
      <c r="I762" s="101">
        <f t="shared" si="44"/>
        <v>44987.77847222222</v>
      </c>
      <c r="J762" s="102">
        <f t="shared" si="45"/>
        <v>3</v>
      </c>
      <c r="K762" s="103">
        <f t="shared" si="46"/>
        <v>2</v>
      </c>
      <c r="L762" s="83">
        <f t="shared" si="47"/>
        <v>18</v>
      </c>
    </row>
    <row r="763" spans="1:12" x14ac:dyDescent="0.25">
      <c r="A763" s="105">
        <v>44987.752083333333</v>
      </c>
      <c r="B763" s="107" t="s">
        <v>1593</v>
      </c>
      <c r="C763" s="99" t="s">
        <v>1559</v>
      </c>
      <c r="D763" s="99" t="s">
        <v>1560</v>
      </c>
      <c r="E763" s="93">
        <v>43</v>
      </c>
      <c r="F763" s="94" t="s">
        <v>1544</v>
      </c>
      <c r="G763" s="95" t="s">
        <v>45</v>
      </c>
      <c r="H763" s="94">
        <v>103241347</v>
      </c>
      <c r="I763" s="101">
        <f t="shared" si="44"/>
        <v>44987.752083333333</v>
      </c>
      <c r="J763" s="102">
        <f t="shared" si="45"/>
        <v>3</v>
      </c>
      <c r="K763" s="103">
        <f t="shared" si="46"/>
        <v>2</v>
      </c>
      <c r="L763" s="83">
        <f t="shared" si="47"/>
        <v>18</v>
      </c>
    </row>
    <row r="764" spans="1:12" x14ac:dyDescent="0.25">
      <c r="A764" s="105">
        <v>44987.492361111108</v>
      </c>
      <c r="B764" s="107" t="s">
        <v>1594</v>
      </c>
      <c r="C764" s="99" t="s">
        <v>1562</v>
      </c>
      <c r="D764" s="99" t="s">
        <v>1563</v>
      </c>
      <c r="E764" s="93">
        <v>52.14</v>
      </c>
      <c r="F764" s="94" t="s">
        <v>1543</v>
      </c>
      <c r="G764" s="95" t="s">
        <v>47</v>
      </c>
      <c r="H764" s="94">
        <v>105717570</v>
      </c>
      <c r="I764" s="101">
        <f t="shared" si="44"/>
        <v>44987.492361111108</v>
      </c>
      <c r="J764" s="102">
        <f t="shared" si="45"/>
        <v>3</v>
      </c>
      <c r="K764" s="103">
        <f t="shared" si="46"/>
        <v>2</v>
      </c>
      <c r="L764" s="83">
        <f t="shared" si="47"/>
        <v>11</v>
      </c>
    </row>
    <row r="765" spans="1:12" x14ac:dyDescent="0.25">
      <c r="A765" s="105">
        <v>44987.481944444444</v>
      </c>
      <c r="B765" s="107" t="s">
        <v>1595</v>
      </c>
      <c r="C765" s="99" t="s">
        <v>1564</v>
      </c>
      <c r="D765" s="99" t="s">
        <v>1565</v>
      </c>
      <c r="E765" s="93">
        <v>500</v>
      </c>
      <c r="F765" s="94" t="s">
        <v>1543</v>
      </c>
      <c r="G765" s="95" t="s">
        <v>49</v>
      </c>
      <c r="H765" s="94">
        <v>103096781</v>
      </c>
      <c r="I765" s="101">
        <f t="shared" si="44"/>
        <v>44987.481944444444</v>
      </c>
      <c r="J765" s="102">
        <f t="shared" si="45"/>
        <v>3</v>
      </c>
      <c r="K765" s="103">
        <f t="shared" si="46"/>
        <v>2</v>
      </c>
      <c r="L765" s="83">
        <f t="shared" si="47"/>
        <v>11</v>
      </c>
    </row>
    <row r="766" spans="1:12" x14ac:dyDescent="0.25">
      <c r="A766" s="105">
        <v>44987.662499999999</v>
      </c>
      <c r="B766" s="107" t="s">
        <v>1597</v>
      </c>
      <c r="C766" s="99" t="s">
        <v>1566</v>
      </c>
      <c r="D766" s="99" t="s">
        <v>1567</v>
      </c>
      <c r="E766" s="93">
        <v>164.42</v>
      </c>
      <c r="F766" s="94" t="s">
        <v>1543</v>
      </c>
      <c r="G766" s="95" t="s">
        <v>51</v>
      </c>
      <c r="H766" s="94">
        <v>105480491</v>
      </c>
      <c r="I766" s="101">
        <f t="shared" si="44"/>
        <v>44987.662499999999</v>
      </c>
      <c r="J766" s="102">
        <f t="shared" si="45"/>
        <v>3</v>
      </c>
      <c r="K766" s="103">
        <f t="shared" si="46"/>
        <v>2</v>
      </c>
      <c r="L766" s="83">
        <f t="shared" si="47"/>
        <v>15</v>
      </c>
    </row>
    <row r="767" spans="1:12" x14ac:dyDescent="0.25">
      <c r="A767" s="105">
        <v>44987.754861111112</v>
      </c>
      <c r="B767" s="107" t="s">
        <v>1547</v>
      </c>
      <c r="C767" s="99" t="s">
        <v>1569</v>
      </c>
      <c r="D767" s="99" t="s">
        <v>1570</v>
      </c>
      <c r="E767" s="93">
        <v>403.01</v>
      </c>
      <c r="F767" s="94" t="s">
        <v>1543</v>
      </c>
      <c r="G767" s="95" t="s">
        <v>53</v>
      </c>
      <c r="H767" s="94">
        <v>102945320</v>
      </c>
      <c r="I767" s="101">
        <f t="shared" si="44"/>
        <v>44987.754861111112</v>
      </c>
      <c r="J767" s="102">
        <f t="shared" si="45"/>
        <v>3</v>
      </c>
      <c r="K767" s="103">
        <f t="shared" si="46"/>
        <v>2</v>
      </c>
      <c r="L767" s="83">
        <f t="shared" si="47"/>
        <v>18</v>
      </c>
    </row>
    <row r="768" spans="1:12" x14ac:dyDescent="0.25">
      <c r="A768" s="105">
        <v>44987.576388888891</v>
      </c>
      <c r="B768" s="107" t="s">
        <v>1554</v>
      </c>
      <c r="C768" s="99" t="s">
        <v>1571</v>
      </c>
      <c r="D768" s="99" t="s">
        <v>1572</v>
      </c>
      <c r="E768" s="93">
        <v>20</v>
      </c>
      <c r="F768" s="94" t="s">
        <v>1543</v>
      </c>
      <c r="G768" s="95" t="s">
        <v>55</v>
      </c>
      <c r="H768" s="94">
        <v>104299134</v>
      </c>
      <c r="I768" s="101">
        <f t="shared" si="44"/>
        <v>44987.576388888891</v>
      </c>
      <c r="J768" s="102">
        <f t="shared" si="45"/>
        <v>3</v>
      </c>
      <c r="K768" s="103">
        <f t="shared" si="46"/>
        <v>2</v>
      </c>
      <c r="L768" s="83">
        <f t="shared" si="47"/>
        <v>13</v>
      </c>
    </row>
    <row r="769" spans="1:12" x14ac:dyDescent="0.25">
      <c r="A769" s="105">
        <v>44987.428472222222</v>
      </c>
      <c r="B769" s="107" t="s">
        <v>1561</v>
      </c>
      <c r="C769" s="99" t="s">
        <v>1573</v>
      </c>
      <c r="D769" s="99" t="s">
        <v>1574</v>
      </c>
      <c r="E769" s="93">
        <v>77</v>
      </c>
      <c r="F769" s="94" t="s">
        <v>1543</v>
      </c>
      <c r="G769" s="95" t="s">
        <v>57</v>
      </c>
      <c r="H769" s="94">
        <v>104288494</v>
      </c>
      <c r="I769" s="101">
        <f t="shared" si="44"/>
        <v>44987.428472222222</v>
      </c>
      <c r="J769" s="102">
        <f t="shared" si="45"/>
        <v>3</v>
      </c>
      <c r="K769" s="103">
        <f t="shared" si="46"/>
        <v>2</v>
      </c>
      <c r="L769" s="83">
        <f t="shared" si="47"/>
        <v>10</v>
      </c>
    </row>
    <row r="770" spans="1:12" x14ac:dyDescent="0.25">
      <c r="A770" s="105">
        <v>44987.659722222219</v>
      </c>
      <c r="B770" s="107" t="s">
        <v>1568</v>
      </c>
      <c r="C770" s="99" t="s">
        <v>1576</v>
      </c>
      <c r="D770" s="99" t="s">
        <v>1577</v>
      </c>
      <c r="E770" s="93">
        <v>10</v>
      </c>
      <c r="F770" s="94" t="s">
        <v>1544</v>
      </c>
      <c r="G770" s="95" t="s">
        <v>59</v>
      </c>
      <c r="H770" s="94">
        <v>105112222</v>
      </c>
      <c r="I770" s="101">
        <f t="shared" si="44"/>
        <v>44987.659722222219</v>
      </c>
      <c r="J770" s="102">
        <f t="shared" si="45"/>
        <v>3</v>
      </c>
      <c r="K770" s="103">
        <f t="shared" si="46"/>
        <v>2</v>
      </c>
      <c r="L770" s="83">
        <f t="shared" si="47"/>
        <v>15</v>
      </c>
    </row>
    <row r="771" spans="1:12" x14ac:dyDescent="0.25">
      <c r="A771" s="105">
        <v>44987.613194444442</v>
      </c>
      <c r="B771" s="107" t="s">
        <v>1575</v>
      </c>
      <c r="C771" s="99" t="s">
        <v>1578</v>
      </c>
      <c r="D771" s="99" t="s">
        <v>1579</v>
      </c>
      <c r="E771" s="93">
        <v>31</v>
      </c>
      <c r="F771" s="94" t="s">
        <v>1544</v>
      </c>
      <c r="G771" s="95" t="s">
        <v>61</v>
      </c>
      <c r="H771" s="94">
        <v>105201525</v>
      </c>
      <c r="I771" s="101">
        <f t="shared" ref="I771:I834" si="48">A771</f>
        <v>44987.613194444442</v>
      </c>
      <c r="J771" s="102">
        <f t="shared" ref="J771:J834" si="49">MONTH(A771)</f>
        <v>3</v>
      </c>
      <c r="K771" s="103">
        <f t="shared" ref="K771:K834" si="50">DAY(A771)</f>
        <v>2</v>
      </c>
      <c r="L771" s="83">
        <f t="shared" ref="L771:L834" si="51">HOUR(A771)</f>
        <v>14</v>
      </c>
    </row>
    <row r="772" spans="1:12" x14ac:dyDescent="0.25">
      <c r="A772" s="105">
        <v>44987.4375</v>
      </c>
      <c r="B772" s="107" t="s">
        <v>1582</v>
      </c>
      <c r="C772" s="99" t="s">
        <v>1580</v>
      </c>
      <c r="D772" s="99" t="s">
        <v>1581</v>
      </c>
      <c r="E772" s="93">
        <v>98.58</v>
      </c>
      <c r="F772" s="94" t="s">
        <v>1543</v>
      </c>
      <c r="G772" s="95" t="s">
        <v>63</v>
      </c>
      <c r="H772" s="94">
        <v>105469474</v>
      </c>
      <c r="I772" s="101">
        <f t="shared" si="48"/>
        <v>44987.4375</v>
      </c>
      <c r="J772" s="102">
        <f t="shared" si="49"/>
        <v>3</v>
      </c>
      <c r="K772" s="103">
        <f t="shared" si="50"/>
        <v>2</v>
      </c>
      <c r="L772" s="83">
        <f t="shared" si="51"/>
        <v>10</v>
      </c>
    </row>
    <row r="773" spans="1:12" x14ac:dyDescent="0.25">
      <c r="A773" s="105">
        <v>44987.538888888892</v>
      </c>
      <c r="B773" s="107" t="s">
        <v>1586</v>
      </c>
      <c r="C773" s="99" t="s">
        <v>1548</v>
      </c>
      <c r="D773" s="99" t="s">
        <v>1549</v>
      </c>
      <c r="E773" s="93">
        <v>50</v>
      </c>
      <c r="F773" s="94" t="s">
        <v>1543</v>
      </c>
      <c r="G773" s="95" t="s">
        <v>65</v>
      </c>
      <c r="H773" s="94">
        <v>103822593</v>
      </c>
      <c r="I773" s="101">
        <f t="shared" si="48"/>
        <v>44987.538888888892</v>
      </c>
      <c r="J773" s="102">
        <f t="shared" si="49"/>
        <v>3</v>
      </c>
      <c r="K773" s="103">
        <f t="shared" si="50"/>
        <v>2</v>
      </c>
      <c r="L773" s="83">
        <f t="shared" si="51"/>
        <v>12</v>
      </c>
    </row>
    <row r="774" spans="1:12" x14ac:dyDescent="0.25">
      <c r="A774" s="105">
        <v>44987.548611111109</v>
      </c>
      <c r="B774" s="107" t="s">
        <v>1589</v>
      </c>
      <c r="C774" s="99" t="s">
        <v>1583</v>
      </c>
      <c r="D774" s="99" t="s">
        <v>1574</v>
      </c>
      <c r="E774" s="93">
        <v>93.14</v>
      </c>
      <c r="F774" s="94" t="s">
        <v>1543</v>
      </c>
      <c r="G774" s="95" t="s">
        <v>67</v>
      </c>
      <c r="H774" s="94">
        <v>105414684</v>
      </c>
      <c r="I774" s="101">
        <f t="shared" si="48"/>
        <v>44987.548611111109</v>
      </c>
      <c r="J774" s="102">
        <f t="shared" si="49"/>
        <v>3</v>
      </c>
      <c r="K774" s="103">
        <f t="shared" si="50"/>
        <v>2</v>
      </c>
      <c r="L774" s="83">
        <f t="shared" si="51"/>
        <v>13</v>
      </c>
    </row>
    <row r="775" spans="1:12" x14ac:dyDescent="0.25">
      <c r="A775" s="105">
        <v>44987.602777777778</v>
      </c>
      <c r="B775" s="107" t="s">
        <v>1590</v>
      </c>
      <c r="C775" s="99" t="s">
        <v>1584</v>
      </c>
      <c r="D775" s="99" t="s">
        <v>1585</v>
      </c>
      <c r="E775" s="93">
        <v>117</v>
      </c>
      <c r="F775" s="94" t="s">
        <v>1543</v>
      </c>
      <c r="G775" s="95" t="s">
        <v>69</v>
      </c>
      <c r="H775" s="94">
        <v>102830471</v>
      </c>
      <c r="I775" s="101">
        <f t="shared" si="48"/>
        <v>44987.602777777778</v>
      </c>
      <c r="J775" s="102">
        <f t="shared" si="49"/>
        <v>3</v>
      </c>
      <c r="K775" s="103">
        <f t="shared" si="50"/>
        <v>2</v>
      </c>
      <c r="L775" s="83">
        <f t="shared" si="51"/>
        <v>14</v>
      </c>
    </row>
    <row r="776" spans="1:12" x14ac:dyDescent="0.25">
      <c r="A776" s="105">
        <v>44987.62222222222</v>
      </c>
      <c r="B776" s="107" t="s">
        <v>1591</v>
      </c>
      <c r="C776" s="99" t="s">
        <v>1557</v>
      </c>
      <c r="D776" s="99" t="s">
        <v>1558</v>
      </c>
      <c r="E776" s="93">
        <v>30</v>
      </c>
      <c r="F776" s="94" t="s">
        <v>1543</v>
      </c>
      <c r="G776" s="95" t="s">
        <v>71</v>
      </c>
      <c r="H776" s="94">
        <v>103334373</v>
      </c>
      <c r="I776" s="101">
        <f t="shared" si="48"/>
        <v>44987.62222222222</v>
      </c>
      <c r="J776" s="102">
        <f t="shared" si="49"/>
        <v>3</v>
      </c>
      <c r="K776" s="103">
        <f t="shared" si="50"/>
        <v>2</v>
      </c>
      <c r="L776" s="83">
        <f t="shared" si="51"/>
        <v>14</v>
      </c>
    </row>
    <row r="777" spans="1:12" x14ac:dyDescent="0.25">
      <c r="A777" s="105">
        <v>44987.638194444444</v>
      </c>
      <c r="B777" s="107" t="s">
        <v>1592</v>
      </c>
      <c r="C777" s="99" t="s">
        <v>1587</v>
      </c>
      <c r="D777" s="99" t="s">
        <v>1588</v>
      </c>
      <c r="E777" s="93">
        <v>134.27000000000001</v>
      </c>
      <c r="F777" s="94" t="s">
        <v>1543</v>
      </c>
      <c r="G777" s="95" t="s">
        <v>73</v>
      </c>
      <c r="H777" s="94">
        <v>103846973</v>
      </c>
      <c r="I777" s="101">
        <f t="shared" si="48"/>
        <v>44987.638194444444</v>
      </c>
      <c r="J777" s="102">
        <f t="shared" si="49"/>
        <v>3</v>
      </c>
      <c r="K777" s="103">
        <f t="shared" si="50"/>
        <v>2</v>
      </c>
      <c r="L777" s="83">
        <f t="shared" si="51"/>
        <v>15</v>
      </c>
    </row>
    <row r="778" spans="1:12" x14ac:dyDescent="0.25">
      <c r="A778" s="105">
        <v>44987.681944444441</v>
      </c>
      <c r="B778" s="107" t="s">
        <v>1593</v>
      </c>
      <c r="C778" s="99" t="s">
        <v>1564</v>
      </c>
      <c r="D778" s="99" t="s">
        <v>1565</v>
      </c>
      <c r="E778" s="93">
        <v>192</v>
      </c>
      <c r="F778" s="94" t="s">
        <v>1543</v>
      </c>
      <c r="G778" s="95" t="s">
        <v>75</v>
      </c>
      <c r="H778" s="94">
        <v>103808607</v>
      </c>
      <c r="I778" s="101">
        <f t="shared" si="48"/>
        <v>44987.681944444441</v>
      </c>
      <c r="J778" s="102">
        <f t="shared" si="49"/>
        <v>3</v>
      </c>
      <c r="K778" s="103">
        <f t="shared" si="50"/>
        <v>2</v>
      </c>
      <c r="L778" s="83">
        <f t="shared" si="51"/>
        <v>16</v>
      </c>
    </row>
    <row r="779" spans="1:12" x14ac:dyDescent="0.25">
      <c r="A779" s="105">
        <v>44987.709722222222</v>
      </c>
      <c r="B779" s="107" t="s">
        <v>1594</v>
      </c>
      <c r="C779" s="99" t="s">
        <v>1548</v>
      </c>
      <c r="D779" s="99" t="s">
        <v>1549</v>
      </c>
      <c r="E779" s="93">
        <v>150.66999999999999</v>
      </c>
      <c r="F779" s="94" t="s">
        <v>1543</v>
      </c>
      <c r="G779" s="95" t="s">
        <v>78</v>
      </c>
      <c r="H779" s="94">
        <v>103053654</v>
      </c>
      <c r="I779" s="101">
        <f t="shared" si="48"/>
        <v>44987.709722222222</v>
      </c>
      <c r="J779" s="102">
        <f t="shared" si="49"/>
        <v>3</v>
      </c>
      <c r="K779" s="103">
        <f t="shared" si="50"/>
        <v>2</v>
      </c>
      <c r="L779" s="83">
        <f t="shared" si="51"/>
        <v>17</v>
      </c>
    </row>
    <row r="780" spans="1:12" x14ac:dyDescent="0.25">
      <c r="A780" s="105">
        <v>44987.715277777781</v>
      </c>
      <c r="B780" s="107" t="s">
        <v>1595</v>
      </c>
      <c r="C780" s="99" t="s">
        <v>1550</v>
      </c>
      <c r="D780" s="99" t="s">
        <v>1551</v>
      </c>
      <c r="E780" s="93">
        <v>10</v>
      </c>
      <c r="F780" s="94" t="s">
        <v>1543</v>
      </c>
      <c r="G780" s="95" t="s">
        <v>80</v>
      </c>
      <c r="H780" s="94">
        <v>104625452</v>
      </c>
      <c r="I780" s="101">
        <f t="shared" si="48"/>
        <v>44987.715277777781</v>
      </c>
      <c r="J780" s="102">
        <f t="shared" si="49"/>
        <v>3</v>
      </c>
      <c r="K780" s="103">
        <f t="shared" si="50"/>
        <v>2</v>
      </c>
      <c r="L780" s="83">
        <f t="shared" si="51"/>
        <v>17</v>
      </c>
    </row>
    <row r="781" spans="1:12" x14ac:dyDescent="0.25">
      <c r="A781" s="105">
        <v>44987.722222222219</v>
      </c>
      <c r="B781" s="107" t="s">
        <v>1597</v>
      </c>
      <c r="C781" s="99" t="s">
        <v>1562</v>
      </c>
      <c r="D781" s="99" t="s">
        <v>1563</v>
      </c>
      <c r="E781" s="93">
        <v>38.17</v>
      </c>
      <c r="F781" s="94" t="s">
        <v>1543</v>
      </c>
      <c r="G781" s="95" t="s">
        <v>83</v>
      </c>
      <c r="H781" s="94">
        <v>105668631</v>
      </c>
      <c r="I781" s="101">
        <f t="shared" si="48"/>
        <v>44987.722222222219</v>
      </c>
      <c r="J781" s="102">
        <f t="shared" si="49"/>
        <v>3</v>
      </c>
      <c r="K781" s="103">
        <f t="shared" si="50"/>
        <v>2</v>
      </c>
      <c r="L781" s="83">
        <f t="shared" si="51"/>
        <v>17</v>
      </c>
    </row>
    <row r="782" spans="1:12" x14ac:dyDescent="0.25">
      <c r="A782" s="105">
        <v>44987.744444444441</v>
      </c>
      <c r="B782" s="107" t="s">
        <v>1547</v>
      </c>
      <c r="C782" s="99" t="s">
        <v>1552</v>
      </c>
      <c r="D782" s="99" t="s">
        <v>1553</v>
      </c>
      <c r="E782" s="93">
        <v>71.12</v>
      </c>
      <c r="F782" s="94" t="s">
        <v>1543</v>
      </c>
      <c r="G782" s="95" t="s">
        <v>85</v>
      </c>
      <c r="H782" s="94">
        <v>104247730</v>
      </c>
      <c r="I782" s="101">
        <f t="shared" si="48"/>
        <v>44987.744444444441</v>
      </c>
      <c r="J782" s="102">
        <f t="shared" si="49"/>
        <v>3</v>
      </c>
      <c r="K782" s="103">
        <f t="shared" si="50"/>
        <v>2</v>
      </c>
      <c r="L782" s="83">
        <f t="shared" si="51"/>
        <v>17</v>
      </c>
    </row>
    <row r="783" spans="1:12" x14ac:dyDescent="0.25">
      <c r="A783" s="105">
        <v>44987.754166666666</v>
      </c>
      <c r="B783" s="107" t="s">
        <v>1554</v>
      </c>
      <c r="C783" s="99" t="s">
        <v>1555</v>
      </c>
      <c r="D783" s="99" t="s">
        <v>1556</v>
      </c>
      <c r="E783" s="93">
        <v>74.12</v>
      </c>
      <c r="F783" s="94" t="s">
        <v>1543</v>
      </c>
      <c r="G783" s="95" t="s">
        <v>87</v>
      </c>
      <c r="H783" s="94">
        <v>103626170</v>
      </c>
      <c r="I783" s="101">
        <f t="shared" si="48"/>
        <v>44987.754166666666</v>
      </c>
      <c r="J783" s="102">
        <f t="shared" si="49"/>
        <v>3</v>
      </c>
      <c r="K783" s="103">
        <f t="shared" si="50"/>
        <v>2</v>
      </c>
      <c r="L783" s="83">
        <f t="shared" si="51"/>
        <v>18</v>
      </c>
    </row>
    <row r="784" spans="1:12" x14ac:dyDescent="0.25">
      <c r="A784" s="105">
        <v>44987.579861111109</v>
      </c>
      <c r="B784" s="107" t="s">
        <v>1561</v>
      </c>
      <c r="C784" s="99" t="s">
        <v>1559</v>
      </c>
      <c r="D784" s="99" t="s">
        <v>1560</v>
      </c>
      <c r="E784" s="93">
        <v>166</v>
      </c>
      <c r="F784" s="94" t="s">
        <v>1543</v>
      </c>
      <c r="G784" s="95" t="s">
        <v>89</v>
      </c>
      <c r="H784" s="94">
        <v>104432906</v>
      </c>
      <c r="I784" s="101">
        <f t="shared" si="48"/>
        <v>44987.579861111109</v>
      </c>
      <c r="J784" s="102">
        <f t="shared" si="49"/>
        <v>3</v>
      </c>
      <c r="K784" s="103">
        <f t="shared" si="50"/>
        <v>2</v>
      </c>
      <c r="L784" s="83">
        <f t="shared" si="51"/>
        <v>13</v>
      </c>
    </row>
    <row r="785" spans="1:12" x14ac:dyDescent="0.25">
      <c r="A785" s="105">
        <v>44987.659722222219</v>
      </c>
      <c r="B785" s="107" t="s">
        <v>1568</v>
      </c>
      <c r="C785" s="99" t="s">
        <v>1548</v>
      </c>
      <c r="D785" s="99" t="s">
        <v>1549</v>
      </c>
      <c r="E785" s="93">
        <v>71.36</v>
      </c>
      <c r="F785" s="94" t="s">
        <v>1543</v>
      </c>
      <c r="G785" s="95" t="s">
        <v>91</v>
      </c>
      <c r="H785" s="94">
        <v>105172698</v>
      </c>
      <c r="I785" s="101">
        <f t="shared" si="48"/>
        <v>44987.659722222219</v>
      </c>
      <c r="J785" s="102">
        <f t="shared" si="49"/>
        <v>3</v>
      </c>
      <c r="K785" s="103">
        <f t="shared" si="50"/>
        <v>2</v>
      </c>
      <c r="L785" s="83">
        <f t="shared" si="51"/>
        <v>15</v>
      </c>
    </row>
    <row r="786" spans="1:12" x14ac:dyDescent="0.25">
      <c r="A786" s="105">
        <v>44987.521527777775</v>
      </c>
      <c r="B786" s="107" t="s">
        <v>1575</v>
      </c>
      <c r="C786" s="99" t="s">
        <v>1566</v>
      </c>
      <c r="D786" s="99" t="s">
        <v>1567</v>
      </c>
      <c r="E786" s="93">
        <v>145.16999999999999</v>
      </c>
      <c r="F786" s="94" t="s">
        <v>1543</v>
      </c>
      <c r="G786" s="95" t="s">
        <v>93</v>
      </c>
      <c r="H786" s="94">
        <v>105641807</v>
      </c>
      <c r="I786" s="101">
        <f t="shared" si="48"/>
        <v>44987.521527777775</v>
      </c>
      <c r="J786" s="102">
        <f t="shared" si="49"/>
        <v>3</v>
      </c>
      <c r="K786" s="103">
        <f t="shared" si="50"/>
        <v>2</v>
      </c>
      <c r="L786" s="83">
        <f t="shared" si="51"/>
        <v>12</v>
      </c>
    </row>
    <row r="787" spans="1:12" x14ac:dyDescent="0.25">
      <c r="A787" s="105">
        <v>44987.49722222222</v>
      </c>
      <c r="B787" s="107" t="s">
        <v>1582</v>
      </c>
      <c r="C787" s="99" t="s">
        <v>1564</v>
      </c>
      <c r="D787" s="99" t="s">
        <v>1565</v>
      </c>
      <c r="E787" s="93">
        <v>49.31</v>
      </c>
      <c r="F787" s="94" t="s">
        <v>1543</v>
      </c>
      <c r="G787" s="95" t="s">
        <v>95</v>
      </c>
      <c r="H787" s="94">
        <v>105494686</v>
      </c>
      <c r="I787" s="101">
        <f t="shared" si="48"/>
        <v>44987.49722222222</v>
      </c>
      <c r="J787" s="102">
        <f t="shared" si="49"/>
        <v>3</v>
      </c>
      <c r="K787" s="103">
        <f t="shared" si="50"/>
        <v>2</v>
      </c>
      <c r="L787" s="83">
        <f t="shared" si="51"/>
        <v>11</v>
      </c>
    </row>
    <row r="788" spans="1:12" x14ac:dyDescent="0.25">
      <c r="A788" s="105">
        <v>44987.624305555553</v>
      </c>
      <c r="B788" s="107" t="s">
        <v>1586</v>
      </c>
      <c r="C788" s="99" t="s">
        <v>1548</v>
      </c>
      <c r="D788" s="99" t="s">
        <v>1549</v>
      </c>
      <c r="E788" s="93">
        <v>202.34</v>
      </c>
      <c r="F788" s="94" t="s">
        <v>1543</v>
      </c>
      <c r="G788" s="95" t="s">
        <v>97</v>
      </c>
      <c r="H788" s="94">
        <v>105407592</v>
      </c>
      <c r="I788" s="101">
        <f t="shared" si="48"/>
        <v>44987.624305555553</v>
      </c>
      <c r="J788" s="102">
        <f t="shared" si="49"/>
        <v>3</v>
      </c>
      <c r="K788" s="103">
        <f t="shared" si="50"/>
        <v>2</v>
      </c>
      <c r="L788" s="83">
        <f t="shared" si="51"/>
        <v>14</v>
      </c>
    </row>
    <row r="789" spans="1:12" x14ac:dyDescent="0.25">
      <c r="A789" s="105">
        <v>44987.666666666664</v>
      </c>
      <c r="B789" s="107" t="s">
        <v>1589</v>
      </c>
      <c r="C789" s="99" t="s">
        <v>1550</v>
      </c>
      <c r="D789" s="99" t="s">
        <v>1551</v>
      </c>
      <c r="E789" s="93">
        <v>724.63</v>
      </c>
      <c r="F789" s="94" t="s">
        <v>1543</v>
      </c>
      <c r="G789" s="95" t="s">
        <v>99</v>
      </c>
      <c r="H789" s="94">
        <v>104888177</v>
      </c>
      <c r="I789" s="101">
        <f t="shared" si="48"/>
        <v>44987.666666666664</v>
      </c>
      <c r="J789" s="102">
        <f t="shared" si="49"/>
        <v>3</v>
      </c>
      <c r="K789" s="103">
        <f t="shared" si="50"/>
        <v>2</v>
      </c>
      <c r="L789" s="83">
        <f t="shared" si="51"/>
        <v>16</v>
      </c>
    </row>
    <row r="790" spans="1:12" x14ac:dyDescent="0.25">
      <c r="A790" s="105">
        <v>44987.45416666667</v>
      </c>
      <c r="B790" s="107" t="s">
        <v>1590</v>
      </c>
      <c r="C790" s="99" t="s">
        <v>1557</v>
      </c>
      <c r="D790" s="99" t="s">
        <v>1558</v>
      </c>
      <c r="E790" s="93">
        <v>272.24</v>
      </c>
      <c r="F790" s="94" t="s">
        <v>1543</v>
      </c>
      <c r="G790" s="95" t="s">
        <v>101</v>
      </c>
      <c r="H790" s="94">
        <v>105034696</v>
      </c>
      <c r="I790" s="101">
        <f t="shared" si="48"/>
        <v>44987.45416666667</v>
      </c>
      <c r="J790" s="102">
        <f t="shared" si="49"/>
        <v>3</v>
      </c>
      <c r="K790" s="103">
        <f t="shared" si="50"/>
        <v>2</v>
      </c>
      <c r="L790" s="83">
        <f t="shared" si="51"/>
        <v>10</v>
      </c>
    </row>
    <row r="791" spans="1:12" x14ac:dyDescent="0.25">
      <c r="A791" s="105">
        <v>44987.456944444442</v>
      </c>
      <c r="B791" s="107" t="s">
        <v>1591</v>
      </c>
      <c r="C791" s="99" t="s">
        <v>1562</v>
      </c>
      <c r="D791" s="99" t="s">
        <v>1563</v>
      </c>
      <c r="E791" s="93">
        <v>100</v>
      </c>
      <c r="F791" s="94" t="s">
        <v>1544</v>
      </c>
      <c r="G791" s="95" t="s">
        <v>103</v>
      </c>
      <c r="H791" s="94">
        <v>103693136</v>
      </c>
      <c r="I791" s="101">
        <f t="shared" si="48"/>
        <v>44987.456944444442</v>
      </c>
      <c r="J791" s="102">
        <f t="shared" si="49"/>
        <v>3</v>
      </c>
      <c r="K791" s="103">
        <f t="shared" si="50"/>
        <v>2</v>
      </c>
      <c r="L791" s="83">
        <f t="shared" si="51"/>
        <v>10</v>
      </c>
    </row>
    <row r="792" spans="1:12" x14ac:dyDescent="0.25">
      <c r="A792" s="105">
        <v>44987.488194444442</v>
      </c>
      <c r="B792" s="107" t="s">
        <v>1592</v>
      </c>
      <c r="C792" s="99" t="s">
        <v>1576</v>
      </c>
      <c r="D792" s="99" t="s">
        <v>1577</v>
      </c>
      <c r="E792" s="93">
        <v>52</v>
      </c>
      <c r="F792" s="94" t="s">
        <v>1544</v>
      </c>
      <c r="G792" s="95" t="s">
        <v>105</v>
      </c>
      <c r="H792" s="94">
        <v>104867694</v>
      </c>
      <c r="I792" s="101">
        <f t="shared" si="48"/>
        <v>44987.488194444442</v>
      </c>
      <c r="J792" s="102">
        <f t="shared" si="49"/>
        <v>3</v>
      </c>
      <c r="K792" s="103">
        <f t="shared" si="50"/>
        <v>2</v>
      </c>
      <c r="L792" s="83">
        <f t="shared" si="51"/>
        <v>11</v>
      </c>
    </row>
    <row r="793" spans="1:12" x14ac:dyDescent="0.25">
      <c r="A793" s="105">
        <v>44987.757638888892</v>
      </c>
      <c r="B793" s="107" t="s">
        <v>1593</v>
      </c>
      <c r="C793" s="99" t="s">
        <v>1569</v>
      </c>
      <c r="D793" s="99" t="s">
        <v>1570</v>
      </c>
      <c r="E793" s="93">
        <v>10</v>
      </c>
      <c r="F793" s="94" t="s">
        <v>1544</v>
      </c>
      <c r="G793" s="95" t="s">
        <v>107</v>
      </c>
      <c r="H793" s="94">
        <v>102242446</v>
      </c>
      <c r="I793" s="101">
        <f t="shared" si="48"/>
        <v>44987.757638888892</v>
      </c>
      <c r="J793" s="102">
        <f t="shared" si="49"/>
        <v>3</v>
      </c>
      <c r="K793" s="103">
        <f t="shared" si="50"/>
        <v>2</v>
      </c>
      <c r="L793" s="83">
        <f t="shared" si="51"/>
        <v>18</v>
      </c>
    </row>
    <row r="794" spans="1:12" x14ac:dyDescent="0.25">
      <c r="A794" s="105">
        <v>44987.481249999997</v>
      </c>
      <c r="B794" s="107" t="s">
        <v>1594</v>
      </c>
      <c r="C794" s="99" t="s">
        <v>1548</v>
      </c>
      <c r="D794" s="99" t="s">
        <v>1549</v>
      </c>
      <c r="E794" s="93">
        <v>174</v>
      </c>
      <c r="F794" s="94" t="s">
        <v>1544</v>
      </c>
      <c r="G794" s="95" t="s">
        <v>109</v>
      </c>
      <c r="H794" s="94">
        <v>103979658</v>
      </c>
      <c r="I794" s="101">
        <f t="shared" si="48"/>
        <v>44987.481249999997</v>
      </c>
      <c r="J794" s="102">
        <f t="shared" si="49"/>
        <v>3</v>
      </c>
      <c r="K794" s="103">
        <f t="shared" si="50"/>
        <v>2</v>
      </c>
      <c r="L794" s="83">
        <f t="shared" si="51"/>
        <v>11</v>
      </c>
    </row>
    <row r="795" spans="1:12" x14ac:dyDescent="0.25">
      <c r="A795" s="105">
        <v>44987.658333333333</v>
      </c>
      <c r="B795" s="107" t="s">
        <v>1595</v>
      </c>
      <c r="C795" s="99" t="s">
        <v>1559</v>
      </c>
      <c r="D795" s="99" t="s">
        <v>1560</v>
      </c>
      <c r="E795" s="93">
        <v>140</v>
      </c>
      <c r="F795" s="94" t="s">
        <v>1543</v>
      </c>
      <c r="G795" s="95" t="s">
        <v>111</v>
      </c>
      <c r="H795" s="94">
        <v>104460701</v>
      </c>
      <c r="I795" s="101">
        <f t="shared" si="48"/>
        <v>44987.658333333333</v>
      </c>
      <c r="J795" s="102">
        <f t="shared" si="49"/>
        <v>3</v>
      </c>
      <c r="K795" s="103">
        <f t="shared" si="50"/>
        <v>2</v>
      </c>
      <c r="L795" s="83">
        <f t="shared" si="51"/>
        <v>15</v>
      </c>
    </row>
    <row r="796" spans="1:12" x14ac:dyDescent="0.25">
      <c r="A796" s="105">
        <v>44987.78125</v>
      </c>
      <c r="B796" s="107" t="s">
        <v>1597</v>
      </c>
      <c r="C796" s="99" t="s">
        <v>1571</v>
      </c>
      <c r="D796" s="99" t="s">
        <v>1572</v>
      </c>
      <c r="E796" s="93">
        <v>27.04</v>
      </c>
      <c r="F796" s="94" t="s">
        <v>1543</v>
      </c>
      <c r="G796" s="95" t="s">
        <v>113</v>
      </c>
      <c r="H796" s="94">
        <v>102057175</v>
      </c>
      <c r="I796" s="101">
        <f t="shared" si="48"/>
        <v>44987.78125</v>
      </c>
      <c r="J796" s="102">
        <f t="shared" si="49"/>
        <v>3</v>
      </c>
      <c r="K796" s="103">
        <f t="shared" si="50"/>
        <v>2</v>
      </c>
      <c r="L796" s="83">
        <f t="shared" si="51"/>
        <v>18</v>
      </c>
    </row>
    <row r="797" spans="1:12" x14ac:dyDescent="0.25">
      <c r="A797" s="105">
        <v>44987.704861111109</v>
      </c>
      <c r="B797" s="107" t="s">
        <v>1547</v>
      </c>
      <c r="C797" s="99" t="s">
        <v>1550</v>
      </c>
      <c r="D797" s="99" t="s">
        <v>1551</v>
      </c>
      <c r="E797" s="93">
        <v>57</v>
      </c>
      <c r="F797" s="94" t="s">
        <v>1543</v>
      </c>
      <c r="G797" s="95" t="s">
        <v>115</v>
      </c>
      <c r="H797" s="94">
        <v>100781086</v>
      </c>
      <c r="I797" s="101">
        <f t="shared" si="48"/>
        <v>44987.704861111109</v>
      </c>
      <c r="J797" s="102">
        <f t="shared" si="49"/>
        <v>3</v>
      </c>
      <c r="K797" s="103">
        <f t="shared" si="50"/>
        <v>2</v>
      </c>
      <c r="L797" s="83">
        <f t="shared" si="51"/>
        <v>16</v>
      </c>
    </row>
    <row r="798" spans="1:12" x14ac:dyDescent="0.25">
      <c r="A798" s="105">
        <v>44987.45416666667</v>
      </c>
      <c r="B798" s="107" t="s">
        <v>1554</v>
      </c>
      <c r="C798" s="99" t="s">
        <v>1557</v>
      </c>
      <c r="D798" s="99" t="s">
        <v>1558</v>
      </c>
      <c r="E798" s="93">
        <v>88</v>
      </c>
      <c r="F798" s="94" t="s">
        <v>1543</v>
      </c>
      <c r="G798" s="95" t="s">
        <v>117</v>
      </c>
      <c r="H798" s="94">
        <v>105202192</v>
      </c>
      <c r="I798" s="101">
        <f t="shared" si="48"/>
        <v>44987.45416666667</v>
      </c>
      <c r="J798" s="102">
        <f t="shared" si="49"/>
        <v>3</v>
      </c>
      <c r="K798" s="103">
        <f t="shared" si="50"/>
        <v>2</v>
      </c>
      <c r="L798" s="83">
        <f t="shared" si="51"/>
        <v>10</v>
      </c>
    </row>
    <row r="799" spans="1:12" x14ac:dyDescent="0.25">
      <c r="A799" s="105">
        <v>44987.574999999997</v>
      </c>
      <c r="B799" s="107" t="s">
        <v>1561</v>
      </c>
      <c r="C799" s="99" t="s">
        <v>1555</v>
      </c>
      <c r="D799" s="99" t="s">
        <v>1556</v>
      </c>
      <c r="E799" s="93">
        <v>132.99</v>
      </c>
      <c r="F799" s="94" t="s">
        <v>1544</v>
      </c>
      <c r="G799" s="95" t="s">
        <v>120</v>
      </c>
      <c r="H799" s="94">
        <v>105579688</v>
      </c>
      <c r="I799" s="101">
        <f t="shared" si="48"/>
        <v>44987.574999999997</v>
      </c>
      <c r="J799" s="102">
        <f t="shared" si="49"/>
        <v>3</v>
      </c>
      <c r="K799" s="103">
        <f t="shared" si="50"/>
        <v>2</v>
      </c>
      <c r="L799" s="83">
        <f t="shared" si="51"/>
        <v>13</v>
      </c>
    </row>
    <row r="800" spans="1:12" x14ac:dyDescent="0.25">
      <c r="A800" s="105">
        <v>44987.45208333333</v>
      </c>
      <c r="B800" s="107" t="s">
        <v>1568</v>
      </c>
      <c r="C800" s="99" t="s">
        <v>1548</v>
      </c>
      <c r="D800" s="99" t="s">
        <v>1549</v>
      </c>
      <c r="E800" s="93">
        <v>10</v>
      </c>
      <c r="F800" s="94" t="s">
        <v>1544</v>
      </c>
      <c r="G800" s="95" t="s">
        <v>122</v>
      </c>
      <c r="H800" s="94">
        <v>105246029</v>
      </c>
      <c r="I800" s="101">
        <f t="shared" si="48"/>
        <v>44987.45208333333</v>
      </c>
      <c r="J800" s="102">
        <f t="shared" si="49"/>
        <v>3</v>
      </c>
      <c r="K800" s="103">
        <f t="shared" si="50"/>
        <v>2</v>
      </c>
      <c r="L800" s="83">
        <f t="shared" si="51"/>
        <v>10</v>
      </c>
    </row>
    <row r="801" spans="1:12" x14ac:dyDescent="0.25">
      <c r="A801" s="105">
        <v>44987.463888888888</v>
      </c>
      <c r="B801" s="107" t="s">
        <v>1575</v>
      </c>
      <c r="C801" s="99" t="s">
        <v>1550</v>
      </c>
      <c r="D801" s="99" t="s">
        <v>1551</v>
      </c>
      <c r="E801" s="93">
        <v>100.01</v>
      </c>
      <c r="F801" s="94" t="s">
        <v>1543</v>
      </c>
      <c r="G801" s="95" t="s">
        <v>124</v>
      </c>
      <c r="H801" s="94">
        <v>105507094</v>
      </c>
      <c r="I801" s="101">
        <f t="shared" si="48"/>
        <v>44987.463888888888</v>
      </c>
      <c r="J801" s="102">
        <f t="shared" si="49"/>
        <v>3</v>
      </c>
      <c r="K801" s="103">
        <f t="shared" si="50"/>
        <v>2</v>
      </c>
      <c r="L801" s="83">
        <f t="shared" si="51"/>
        <v>11</v>
      </c>
    </row>
    <row r="802" spans="1:12" x14ac:dyDescent="0.25">
      <c r="A802" s="105">
        <v>44987.551388888889</v>
      </c>
      <c r="B802" s="107" t="s">
        <v>1582</v>
      </c>
      <c r="C802" s="99" t="s">
        <v>1552</v>
      </c>
      <c r="D802" s="99" t="s">
        <v>1553</v>
      </c>
      <c r="E802" s="93">
        <v>43.16</v>
      </c>
      <c r="F802" s="94" t="s">
        <v>1543</v>
      </c>
      <c r="G802" s="95" t="s">
        <v>126</v>
      </c>
      <c r="H802" s="94">
        <v>105619792</v>
      </c>
      <c r="I802" s="101">
        <f t="shared" si="48"/>
        <v>44987.551388888889</v>
      </c>
      <c r="J802" s="102">
        <f t="shared" si="49"/>
        <v>3</v>
      </c>
      <c r="K802" s="103">
        <f t="shared" si="50"/>
        <v>2</v>
      </c>
      <c r="L802" s="83">
        <f t="shared" si="51"/>
        <v>13</v>
      </c>
    </row>
    <row r="803" spans="1:12" x14ac:dyDescent="0.25">
      <c r="A803" s="105">
        <v>44987.480555555558</v>
      </c>
      <c r="B803" s="107" t="s">
        <v>1586</v>
      </c>
      <c r="C803" s="99" t="s">
        <v>1555</v>
      </c>
      <c r="D803" s="99" t="s">
        <v>1556</v>
      </c>
      <c r="E803" s="93">
        <v>60</v>
      </c>
      <c r="F803" s="94" t="s">
        <v>1543</v>
      </c>
      <c r="G803" s="95" t="s">
        <v>128</v>
      </c>
      <c r="H803" s="94">
        <v>104542745</v>
      </c>
      <c r="I803" s="101">
        <f t="shared" si="48"/>
        <v>44987.480555555558</v>
      </c>
      <c r="J803" s="102">
        <f t="shared" si="49"/>
        <v>3</v>
      </c>
      <c r="K803" s="103">
        <f t="shared" si="50"/>
        <v>2</v>
      </c>
      <c r="L803" s="83">
        <f t="shared" si="51"/>
        <v>11</v>
      </c>
    </row>
    <row r="804" spans="1:12" x14ac:dyDescent="0.25">
      <c r="A804" s="105">
        <v>44987.688194444447</v>
      </c>
      <c r="B804" s="107" t="s">
        <v>1589</v>
      </c>
      <c r="C804" s="99" t="s">
        <v>1557</v>
      </c>
      <c r="D804" s="99" t="s">
        <v>1558</v>
      </c>
      <c r="E804" s="93">
        <v>64</v>
      </c>
      <c r="F804" s="94" t="s">
        <v>1543</v>
      </c>
      <c r="G804" s="95" t="s">
        <v>130</v>
      </c>
      <c r="H804" s="94">
        <v>104849847</v>
      </c>
      <c r="I804" s="101">
        <f t="shared" si="48"/>
        <v>44987.688194444447</v>
      </c>
      <c r="J804" s="102">
        <f t="shared" si="49"/>
        <v>3</v>
      </c>
      <c r="K804" s="103">
        <f t="shared" si="50"/>
        <v>2</v>
      </c>
      <c r="L804" s="83">
        <f t="shared" si="51"/>
        <v>16</v>
      </c>
    </row>
    <row r="805" spans="1:12" x14ac:dyDescent="0.25">
      <c r="A805" s="105">
        <v>44987.736111111109</v>
      </c>
      <c r="B805" s="107" t="s">
        <v>1590</v>
      </c>
      <c r="C805" s="99" t="s">
        <v>1559</v>
      </c>
      <c r="D805" s="99" t="s">
        <v>1560</v>
      </c>
      <c r="E805" s="93">
        <v>150</v>
      </c>
      <c r="F805" s="94" t="s">
        <v>1543</v>
      </c>
      <c r="G805" s="95" t="s">
        <v>132</v>
      </c>
      <c r="H805" s="94">
        <v>103365855</v>
      </c>
      <c r="I805" s="101">
        <f t="shared" si="48"/>
        <v>44987.736111111109</v>
      </c>
      <c r="J805" s="102">
        <f t="shared" si="49"/>
        <v>3</v>
      </c>
      <c r="K805" s="103">
        <f t="shared" si="50"/>
        <v>2</v>
      </c>
      <c r="L805" s="83">
        <f t="shared" si="51"/>
        <v>17</v>
      </c>
    </row>
    <row r="806" spans="1:12" x14ac:dyDescent="0.25">
      <c r="A806" s="105">
        <v>44987.761111111111</v>
      </c>
      <c r="B806" s="107" t="s">
        <v>1591</v>
      </c>
      <c r="C806" s="99" t="s">
        <v>1562</v>
      </c>
      <c r="D806" s="99" t="s">
        <v>1563</v>
      </c>
      <c r="E806" s="93">
        <v>75.37</v>
      </c>
      <c r="F806" s="94" t="s">
        <v>1543</v>
      </c>
      <c r="G806" s="95" t="s">
        <v>134</v>
      </c>
      <c r="H806" s="94">
        <v>105153839</v>
      </c>
      <c r="I806" s="101">
        <f t="shared" si="48"/>
        <v>44987.761111111111</v>
      </c>
      <c r="J806" s="102">
        <f t="shared" si="49"/>
        <v>3</v>
      </c>
      <c r="K806" s="103">
        <f t="shared" si="50"/>
        <v>2</v>
      </c>
      <c r="L806" s="83">
        <f t="shared" si="51"/>
        <v>18</v>
      </c>
    </row>
    <row r="807" spans="1:12" x14ac:dyDescent="0.25">
      <c r="A807" s="105">
        <v>44987.559027777781</v>
      </c>
      <c r="B807" s="107" t="s">
        <v>1592</v>
      </c>
      <c r="C807" s="99" t="s">
        <v>1564</v>
      </c>
      <c r="D807" s="99" t="s">
        <v>1565</v>
      </c>
      <c r="E807" s="93">
        <v>121</v>
      </c>
      <c r="F807" s="94" t="s">
        <v>1543</v>
      </c>
      <c r="G807" s="95" t="s">
        <v>136</v>
      </c>
      <c r="H807" s="94">
        <v>102221822</v>
      </c>
      <c r="I807" s="101">
        <f t="shared" si="48"/>
        <v>44987.559027777781</v>
      </c>
      <c r="J807" s="102">
        <f t="shared" si="49"/>
        <v>3</v>
      </c>
      <c r="K807" s="103">
        <f t="shared" si="50"/>
        <v>2</v>
      </c>
      <c r="L807" s="83">
        <f t="shared" si="51"/>
        <v>13</v>
      </c>
    </row>
    <row r="808" spans="1:12" x14ac:dyDescent="0.25">
      <c r="A808" s="105">
        <v>44987.760416666664</v>
      </c>
      <c r="B808" s="107" t="s">
        <v>1593</v>
      </c>
      <c r="C808" s="99" t="s">
        <v>1566</v>
      </c>
      <c r="D808" s="99" t="s">
        <v>1567</v>
      </c>
      <c r="E808" s="93">
        <v>60.77</v>
      </c>
      <c r="F808" s="94" t="s">
        <v>1543</v>
      </c>
      <c r="G808" s="95" t="s">
        <v>138</v>
      </c>
      <c r="H808" s="94">
        <v>103508921</v>
      </c>
      <c r="I808" s="101">
        <f t="shared" si="48"/>
        <v>44987.760416666664</v>
      </c>
      <c r="J808" s="102">
        <f t="shared" si="49"/>
        <v>3</v>
      </c>
      <c r="K808" s="103">
        <f t="shared" si="50"/>
        <v>2</v>
      </c>
      <c r="L808" s="83">
        <f t="shared" si="51"/>
        <v>18</v>
      </c>
    </row>
    <row r="809" spans="1:12" x14ac:dyDescent="0.25">
      <c r="A809" s="105">
        <v>44987.763888888891</v>
      </c>
      <c r="B809" s="107" t="s">
        <v>1594</v>
      </c>
      <c r="C809" s="99" t="s">
        <v>1569</v>
      </c>
      <c r="D809" s="99" t="s">
        <v>1570</v>
      </c>
      <c r="E809" s="93">
        <v>99</v>
      </c>
      <c r="F809" s="94" t="s">
        <v>1543</v>
      </c>
      <c r="G809" s="95" t="s">
        <v>140</v>
      </c>
      <c r="H809" s="94">
        <v>104302391</v>
      </c>
      <c r="I809" s="101">
        <f t="shared" si="48"/>
        <v>44987.763888888891</v>
      </c>
      <c r="J809" s="102">
        <f t="shared" si="49"/>
        <v>3</v>
      </c>
      <c r="K809" s="103">
        <f t="shared" si="50"/>
        <v>2</v>
      </c>
      <c r="L809" s="83">
        <f t="shared" si="51"/>
        <v>18</v>
      </c>
    </row>
    <row r="810" spans="1:12" x14ac:dyDescent="0.25">
      <c r="A810" s="105">
        <v>44987.707638888889</v>
      </c>
      <c r="B810" s="107" t="s">
        <v>1595</v>
      </c>
      <c r="C810" s="99" t="s">
        <v>1571</v>
      </c>
      <c r="D810" s="99" t="s">
        <v>1572</v>
      </c>
      <c r="E810" s="93">
        <v>94</v>
      </c>
      <c r="F810" s="94" t="s">
        <v>1544</v>
      </c>
      <c r="G810" s="95" t="s">
        <v>142</v>
      </c>
      <c r="H810" s="94">
        <v>105192100</v>
      </c>
      <c r="I810" s="101">
        <f t="shared" si="48"/>
        <v>44987.707638888889</v>
      </c>
      <c r="J810" s="102">
        <f t="shared" si="49"/>
        <v>3</v>
      </c>
      <c r="K810" s="103">
        <f t="shared" si="50"/>
        <v>2</v>
      </c>
      <c r="L810" s="83">
        <f t="shared" si="51"/>
        <v>16</v>
      </c>
    </row>
    <row r="811" spans="1:12" x14ac:dyDescent="0.25">
      <c r="A811" s="105">
        <v>44987.443749999999</v>
      </c>
      <c r="B811" s="107" t="s">
        <v>1597</v>
      </c>
      <c r="C811" s="99" t="s">
        <v>1573</v>
      </c>
      <c r="D811" s="99" t="s">
        <v>1574</v>
      </c>
      <c r="E811" s="93">
        <v>73.94</v>
      </c>
      <c r="F811" s="94" t="s">
        <v>1543</v>
      </c>
      <c r="G811" s="95" t="s">
        <v>146</v>
      </c>
      <c r="H811" s="94">
        <v>104978678</v>
      </c>
      <c r="I811" s="101">
        <f t="shared" si="48"/>
        <v>44987.443749999999</v>
      </c>
      <c r="J811" s="102">
        <f t="shared" si="49"/>
        <v>3</v>
      </c>
      <c r="K811" s="103">
        <f t="shared" si="50"/>
        <v>2</v>
      </c>
      <c r="L811" s="83">
        <f t="shared" si="51"/>
        <v>10</v>
      </c>
    </row>
    <row r="812" spans="1:12" x14ac:dyDescent="0.25">
      <c r="A812" s="105">
        <v>44987.440972222219</v>
      </c>
      <c r="B812" s="107" t="s">
        <v>1547</v>
      </c>
      <c r="C812" s="99" t="s">
        <v>1576</v>
      </c>
      <c r="D812" s="99" t="s">
        <v>1577</v>
      </c>
      <c r="E812" s="93">
        <v>100</v>
      </c>
      <c r="F812" s="94" t="s">
        <v>1543</v>
      </c>
      <c r="G812" s="95" t="s">
        <v>148</v>
      </c>
      <c r="H812" s="94">
        <v>104335098</v>
      </c>
      <c r="I812" s="101">
        <f t="shared" si="48"/>
        <v>44987.440972222219</v>
      </c>
      <c r="J812" s="102">
        <f t="shared" si="49"/>
        <v>3</v>
      </c>
      <c r="K812" s="103">
        <f t="shared" si="50"/>
        <v>2</v>
      </c>
      <c r="L812" s="83">
        <f t="shared" si="51"/>
        <v>10</v>
      </c>
    </row>
    <row r="813" spans="1:12" x14ac:dyDescent="0.25">
      <c r="A813" s="105">
        <v>44987.634027777778</v>
      </c>
      <c r="B813" s="107" t="s">
        <v>1554</v>
      </c>
      <c r="C813" s="99" t="s">
        <v>1578</v>
      </c>
      <c r="D813" s="99" t="s">
        <v>1579</v>
      </c>
      <c r="E813" s="93">
        <v>86</v>
      </c>
      <c r="F813" s="94" t="s">
        <v>1543</v>
      </c>
      <c r="G813" s="95" t="s">
        <v>150</v>
      </c>
      <c r="H813" s="94">
        <v>104127887</v>
      </c>
      <c r="I813" s="101">
        <f t="shared" si="48"/>
        <v>44987.634027777778</v>
      </c>
      <c r="J813" s="102">
        <f t="shared" si="49"/>
        <v>3</v>
      </c>
      <c r="K813" s="103">
        <f t="shared" si="50"/>
        <v>2</v>
      </c>
      <c r="L813" s="83">
        <f t="shared" si="51"/>
        <v>15</v>
      </c>
    </row>
    <row r="814" spans="1:12" x14ac:dyDescent="0.25">
      <c r="A814" s="105">
        <v>44987.480555555558</v>
      </c>
      <c r="B814" s="107" t="s">
        <v>1561</v>
      </c>
      <c r="C814" s="99" t="s">
        <v>1580</v>
      </c>
      <c r="D814" s="99" t="s">
        <v>1581</v>
      </c>
      <c r="E814" s="93">
        <v>100</v>
      </c>
      <c r="F814" s="94" t="s">
        <v>1544</v>
      </c>
      <c r="G814" s="95" t="s">
        <v>152</v>
      </c>
      <c r="H814" s="94">
        <v>103979658</v>
      </c>
      <c r="I814" s="101">
        <f t="shared" si="48"/>
        <v>44987.480555555558</v>
      </c>
      <c r="J814" s="102">
        <f t="shared" si="49"/>
        <v>3</v>
      </c>
      <c r="K814" s="103">
        <f t="shared" si="50"/>
        <v>2</v>
      </c>
      <c r="L814" s="83">
        <f t="shared" si="51"/>
        <v>11</v>
      </c>
    </row>
    <row r="815" spans="1:12" x14ac:dyDescent="0.25">
      <c r="A815" s="105">
        <v>44987.622916666667</v>
      </c>
      <c r="B815" s="107" t="s">
        <v>1568</v>
      </c>
      <c r="C815" s="99" t="s">
        <v>1548</v>
      </c>
      <c r="D815" s="99" t="s">
        <v>1549</v>
      </c>
      <c r="E815" s="93">
        <v>9</v>
      </c>
      <c r="F815" s="94" t="s">
        <v>1543</v>
      </c>
      <c r="G815" s="95" t="s">
        <v>154</v>
      </c>
      <c r="H815" s="94">
        <v>103334373</v>
      </c>
      <c r="I815" s="101">
        <f t="shared" si="48"/>
        <v>44987.622916666667</v>
      </c>
      <c r="J815" s="102">
        <f t="shared" si="49"/>
        <v>3</v>
      </c>
      <c r="K815" s="103">
        <f t="shared" si="50"/>
        <v>2</v>
      </c>
      <c r="L815" s="83">
        <f t="shared" si="51"/>
        <v>14</v>
      </c>
    </row>
    <row r="816" spans="1:12" x14ac:dyDescent="0.25">
      <c r="A816" s="105">
        <v>44987.75277777778</v>
      </c>
      <c r="B816" s="107" t="s">
        <v>1575</v>
      </c>
      <c r="C816" s="99" t="s">
        <v>1583</v>
      </c>
      <c r="D816" s="99" t="s">
        <v>1574</v>
      </c>
      <c r="E816" s="93">
        <v>91.16</v>
      </c>
      <c r="F816" s="94" t="s">
        <v>1543</v>
      </c>
      <c r="G816" s="95" t="s">
        <v>156</v>
      </c>
      <c r="H816" s="94">
        <v>105666878</v>
      </c>
      <c r="I816" s="101">
        <f t="shared" si="48"/>
        <v>44987.75277777778</v>
      </c>
      <c r="J816" s="102">
        <f t="shared" si="49"/>
        <v>3</v>
      </c>
      <c r="K816" s="103">
        <f t="shared" si="50"/>
        <v>2</v>
      </c>
      <c r="L816" s="83">
        <f t="shared" si="51"/>
        <v>18</v>
      </c>
    </row>
    <row r="817" spans="1:12" x14ac:dyDescent="0.25">
      <c r="A817" s="105">
        <v>44987.493055555555</v>
      </c>
      <c r="B817" s="107" t="s">
        <v>1582</v>
      </c>
      <c r="C817" s="99" t="s">
        <v>1584</v>
      </c>
      <c r="D817" s="99" t="s">
        <v>1585</v>
      </c>
      <c r="E817" s="93">
        <v>81.849999999999994</v>
      </c>
      <c r="F817" s="94" t="s">
        <v>1543</v>
      </c>
      <c r="G817" s="95" t="s">
        <v>159</v>
      </c>
      <c r="H817" s="94">
        <v>101777637</v>
      </c>
      <c r="I817" s="101">
        <f t="shared" si="48"/>
        <v>44987.493055555555</v>
      </c>
      <c r="J817" s="102">
        <f t="shared" si="49"/>
        <v>3</v>
      </c>
      <c r="K817" s="103">
        <f t="shared" si="50"/>
        <v>2</v>
      </c>
      <c r="L817" s="83">
        <f t="shared" si="51"/>
        <v>11</v>
      </c>
    </row>
    <row r="818" spans="1:12" x14ac:dyDescent="0.25">
      <c r="A818" s="105">
        <v>44987.673611111109</v>
      </c>
      <c r="B818" s="107" t="s">
        <v>1586</v>
      </c>
      <c r="C818" s="99" t="s">
        <v>1557</v>
      </c>
      <c r="D818" s="99" t="s">
        <v>1558</v>
      </c>
      <c r="E818" s="93">
        <v>69.23</v>
      </c>
      <c r="F818" s="94" t="s">
        <v>1543</v>
      </c>
      <c r="G818" s="95" t="s">
        <v>161</v>
      </c>
      <c r="H818" s="94">
        <v>105548239</v>
      </c>
      <c r="I818" s="101">
        <f t="shared" si="48"/>
        <v>44987.673611111109</v>
      </c>
      <c r="J818" s="102">
        <f t="shared" si="49"/>
        <v>3</v>
      </c>
      <c r="K818" s="103">
        <f t="shared" si="50"/>
        <v>2</v>
      </c>
      <c r="L818" s="83">
        <f t="shared" si="51"/>
        <v>16</v>
      </c>
    </row>
    <row r="819" spans="1:12" x14ac:dyDescent="0.25">
      <c r="A819" s="105">
        <v>44987.57916666667</v>
      </c>
      <c r="B819" s="107" t="s">
        <v>1589</v>
      </c>
      <c r="C819" s="99" t="s">
        <v>1587</v>
      </c>
      <c r="D819" s="99" t="s">
        <v>1588</v>
      </c>
      <c r="E819" s="93">
        <v>50</v>
      </c>
      <c r="F819" s="94" t="s">
        <v>1543</v>
      </c>
      <c r="G819" s="95" t="s">
        <v>163</v>
      </c>
      <c r="H819" s="94">
        <v>103318778</v>
      </c>
      <c r="I819" s="101">
        <f t="shared" si="48"/>
        <v>44987.57916666667</v>
      </c>
      <c r="J819" s="102">
        <f t="shared" si="49"/>
        <v>3</v>
      </c>
      <c r="K819" s="103">
        <f t="shared" si="50"/>
        <v>2</v>
      </c>
      <c r="L819" s="83">
        <f t="shared" si="51"/>
        <v>13</v>
      </c>
    </row>
    <row r="820" spans="1:12" x14ac:dyDescent="0.25">
      <c r="A820" s="105">
        <v>44987.59097222222</v>
      </c>
      <c r="B820" s="107" t="s">
        <v>1590</v>
      </c>
      <c r="C820" s="99" t="s">
        <v>1564</v>
      </c>
      <c r="D820" s="99" t="s">
        <v>1565</v>
      </c>
      <c r="E820" s="93">
        <v>162</v>
      </c>
      <c r="F820" s="94" t="s">
        <v>1543</v>
      </c>
      <c r="G820" s="95" t="s">
        <v>165</v>
      </c>
      <c r="H820" s="94">
        <v>101217722</v>
      </c>
      <c r="I820" s="101">
        <f t="shared" si="48"/>
        <v>44987.59097222222</v>
      </c>
      <c r="J820" s="102">
        <f t="shared" si="49"/>
        <v>3</v>
      </c>
      <c r="K820" s="103">
        <f t="shared" si="50"/>
        <v>2</v>
      </c>
      <c r="L820" s="83">
        <f t="shared" si="51"/>
        <v>14</v>
      </c>
    </row>
    <row r="821" spans="1:12" x14ac:dyDescent="0.25">
      <c r="A821" s="105">
        <v>44987.669444444444</v>
      </c>
      <c r="B821" s="107" t="s">
        <v>1591</v>
      </c>
      <c r="C821" s="99" t="s">
        <v>1548</v>
      </c>
      <c r="D821" s="99" t="s">
        <v>1549</v>
      </c>
      <c r="E821" s="93">
        <v>90</v>
      </c>
      <c r="F821" s="94" t="s">
        <v>1543</v>
      </c>
      <c r="G821" s="95" t="s">
        <v>167</v>
      </c>
      <c r="H821" s="94">
        <v>104417164</v>
      </c>
      <c r="I821" s="101">
        <f t="shared" si="48"/>
        <v>44987.669444444444</v>
      </c>
      <c r="J821" s="102">
        <f t="shared" si="49"/>
        <v>3</v>
      </c>
      <c r="K821" s="103">
        <f t="shared" si="50"/>
        <v>2</v>
      </c>
      <c r="L821" s="83">
        <f t="shared" si="51"/>
        <v>16</v>
      </c>
    </row>
    <row r="822" spans="1:12" x14ac:dyDescent="0.25">
      <c r="A822" s="105">
        <v>44987.773611111108</v>
      </c>
      <c r="B822" s="107" t="s">
        <v>1592</v>
      </c>
      <c r="C822" s="99" t="s">
        <v>1550</v>
      </c>
      <c r="D822" s="99" t="s">
        <v>1551</v>
      </c>
      <c r="E822" s="93">
        <v>50</v>
      </c>
      <c r="F822" s="94" t="s">
        <v>1543</v>
      </c>
      <c r="G822" s="95" t="s">
        <v>169</v>
      </c>
      <c r="H822" s="94">
        <v>103067200</v>
      </c>
      <c r="I822" s="101">
        <f t="shared" si="48"/>
        <v>44987.773611111108</v>
      </c>
      <c r="J822" s="102">
        <f t="shared" si="49"/>
        <v>3</v>
      </c>
      <c r="K822" s="103">
        <f t="shared" si="50"/>
        <v>2</v>
      </c>
      <c r="L822" s="83">
        <f t="shared" si="51"/>
        <v>18</v>
      </c>
    </row>
    <row r="823" spans="1:12" x14ac:dyDescent="0.25">
      <c r="A823" s="105">
        <v>44987.713888888888</v>
      </c>
      <c r="B823" s="107" t="s">
        <v>1593</v>
      </c>
      <c r="C823" s="99" t="s">
        <v>1562</v>
      </c>
      <c r="D823" s="99" t="s">
        <v>1563</v>
      </c>
      <c r="E823" s="93">
        <v>90</v>
      </c>
      <c r="F823" s="94" t="s">
        <v>1543</v>
      </c>
      <c r="G823" s="95" t="s">
        <v>171</v>
      </c>
      <c r="H823" s="94">
        <v>103211936</v>
      </c>
      <c r="I823" s="101">
        <f t="shared" si="48"/>
        <v>44987.713888888888</v>
      </c>
      <c r="J823" s="102">
        <f t="shared" si="49"/>
        <v>3</v>
      </c>
      <c r="K823" s="103">
        <f t="shared" si="50"/>
        <v>2</v>
      </c>
      <c r="L823" s="83">
        <f t="shared" si="51"/>
        <v>17</v>
      </c>
    </row>
    <row r="824" spans="1:12" x14ac:dyDescent="0.25">
      <c r="A824" s="105">
        <v>44987.423611111109</v>
      </c>
      <c r="B824" s="107" t="s">
        <v>1594</v>
      </c>
      <c r="C824" s="99" t="s">
        <v>1552</v>
      </c>
      <c r="D824" s="99" t="s">
        <v>1553</v>
      </c>
      <c r="E824" s="93">
        <v>52</v>
      </c>
      <c r="F824" s="94" t="s">
        <v>1543</v>
      </c>
      <c r="G824" s="95" t="s">
        <v>173</v>
      </c>
      <c r="H824" s="94">
        <v>102305470</v>
      </c>
      <c r="I824" s="101">
        <f t="shared" si="48"/>
        <v>44987.423611111109</v>
      </c>
      <c r="J824" s="102">
        <f t="shared" si="49"/>
        <v>3</v>
      </c>
      <c r="K824" s="103">
        <f t="shared" si="50"/>
        <v>2</v>
      </c>
      <c r="L824" s="83">
        <f t="shared" si="51"/>
        <v>10</v>
      </c>
    </row>
    <row r="825" spans="1:12" x14ac:dyDescent="0.25">
      <c r="A825" s="105">
        <v>44987.6875</v>
      </c>
      <c r="B825" s="107" t="s">
        <v>1595</v>
      </c>
      <c r="C825" s="99" t="s">
        <v>1555</v>
      </c>
      <c r="D825" s="99" t="s">
        <v>1556</v>
      </c>
      <c r="E825" s="93">
        <v>26.88</v>
      </c>
      <c r="F825" s="94" t="s">
        <v>1543</v>
      </c>
      <c r="G825" s="95" t="s">
        <v>175</v>
      </c>
      <c r="H825" s="94">
        <v>105693055</v>
      </c>
      <c r="I825" s="101">
        <f t="shared" si="48"/>
        <v>44987.6875</v>
      </c>
      <c r="J825" s="102">
        <f t="shared" si="49"/>
        <v>3</v>
      </c>
      <c r="K825" s="103">
        <f t="shared" si="50"/>
        <v>2</v>
      </c>
      <c r="L825" s="83">
        <f t="shared" si="51"/>
        <v>16</v>
      </c>
    </row>
    <row r="826" spans="1:12" x14ac:dyDescent="0.25">
      <c r="A826" s="105">
        <v>44987.552083333336</v>
      </c>
      <c r="B826" s="107" t="s">
        <v>1597</v>
      </c>
      <c r="C826" s="99" t="s">
        <v>1559</v>
      </c>
      <c r="D826" s="99" t="s">
        <v>1560</v>
      </c>
      <c r="E826" s="93">
        <v>28.76</v>
      </c>
      <c r="F826" s="94" t="s">
        <v>1544</v>
      </c>
      <c r="G826" s="95" t="s">
        <v>177</v>
      </c>
      <c r="H826" s="94">
        <v>105276213</v>
      </c>
      <c r="I826" s="101">
        <f t="shared" si="48"/>
        <v>44987.552083333336</v>
      </c>
      <c r="J826" s="102">
        <f t="shared" si="49"/>
        <v>3</v>
      </c>
      <c r="K826" s="103">
        <f t="shared" si="50"/>
        <v>2</v>
      </c>
      <c r="L826" s="83">
        <f t="shared" si="51"/>
        <v>13</v>
      </c>
    </row>
    <row r="827" spans="1:12" x14ac:dyDescent="0.25">
      <c r="A827" s="105">
        <v>44987.714583333334</v>
      </c>
      <c r="B827" s="107" t="s">
        <v>1547</v>
      </c>
      <c r="C827" s="99" t="s">
        <v>1548</v>
      </c>
      <c r="D827" s="99" t="s">
        <v>1549</v>
      </c>
      <c r="E827" s="93">
        <v>92.86</v>
      </c>
      <c r="F827" s="94" t="s">
        <v>1544</v>
      </c>
      <c r="G827" s="95" t="s">
        <v>179</v>
      </c>
      <c r="H827" s="94">
        <v>104625452</v>
      </c>
      <c r="I827" s="101">
        <f t="shared" si="48"/>
        <v>44987.714583333334</v>
      </c>
      <c r="J827" s="102">
        <f t="shared" si="49"/>
        <v>3</v>
      </c>
      <c r="K827" s="103">
        <f t="shared" si="50"/>
        <v>2</v>
      </c>
      <c r="L827" s="83">
        <f t="shared" si="51"/>
        <v>17</v>
      </c>
    </row>
    <row r="828" spans="1:12" x14ac:dyDescent="0.25">
      <c r="A828" s="105">
        <v>44987.568749999999</v>
      </c>
      <c r="B828" s="107" t="s">
        <v>1554</v>
      </c>
      <c r="C828" s="99" t="s">
        <v>1566</v>
      </c>
      <c r="D828" s="99" t="s">
        <v>1567</v>
      </c>
      <c r="E828" s="93">
        <v>40</v>
      </c>
      <c r="F828" s="94" t="s">
        <v>1543</v>
      </c>
      <c r="G828" s="95" t="s">
        <v>181</v>
      </c>
      <c r="H828" s="94">
        <v>104965801</v>
      </c>
      <c r="I828" s="101">
        <f t="shared" si="48"/>
        <v>44987.568749999999</v>
      </c>
      <c r="J828" s="102">
        <f t="shared" si="49"/>
        <v>3</v>
      </c>
      <c r="K828" s="103">
        <f t="shared" si="50"/>
        <v>2</v>
      </c>
      <c r="L828" s="83">
        <f t="shared" si="51"/>
        <v>13</v>
      </c>
    </row>
    <row r="829" spans="1:12" x14ac:dyDescent="0.25">
      <c r="A829" s="105">
        <v>44987.486111111109</v>
      </c>
      <c r="B829" s="107" t="s">
        <v>1561</v>
      </c>
      <c r="C829" s="99" t="s">
        <v>1564</v>
      </c>
      <c r="D829" s="99" t="s">
        <v>1565</v>
      </c>
      <c r="E829" s="93">
        <v>311.05</v>
      </c>
      <c r="F829" s="94" t="s">
        <v>1543</v>
      </c>
      <c r="G829" s="95" t="s">
        <v>183</v>
      </c>
      <c r="H829" s="94">
        <v>102734808</v>
      </c>
      <c r="I829" s="101">
        <f t="shared" si="48"/>
        <v>44987.486111111109</v>
      </c>
      <c r="J829" s="102">
        <f t="shared" si="49"/>
        <v>3</v>
      </c>
      <c r="K829" s="103">
        <f t="shared" si="50"/>
        <v>2</v>
      </c>
      <c r="L829" s="83">
        <f t="shared" si="51"/>
        <v>11</v>
      </c>
    </row>
    <row r="830" spans="1:12" x14ac:dyDescent="0.25">
      <c r="A830" s="105">
        <v>44987.458333333336</v>
      </c>
      <c r="B830" s="107" t="s">
        <v>1568</v>
      </c>
      <c r="C830" s="99" t="s">
        <v>1548</v>
      </c>
      <c r="D830" s="99" t="s">
        <v>1549</v>
      </c>
      <c r="E830" s="93">
        <v>25</v>
      </c>
      <c r="F830" s="94" t="s">
        <v>1543</v>
      </c>
      <c r="G830" s="95" t="s">
        <v>186</v>
      </c>
      <c r="H830" s="94">
        <v>105222173</v>
      </c>
      <c r="I830" s="101">
        <f t="shared" si="48"/>
        <v>44987.458333333336</v>
      </c>
      <c r="J830" s="102">
        <f t="shared" si="49"/>
        <v>3</v>
      </c>
      <c r="K830" s="103">
        <f t="shared" si="50"/>
        <v>2</v>
      </c>
      <c r="L830" s="83">
        <f t="shared" si="51"/>
        <v>11</v>
      </c>
    </row>
    <row r="831" spans="1:12" x14ac:dyDescent="0.25">
      <c r="A831" s="105">
        <v>44987.501388888886</v>
      </c>
      <c r="B831" s="107" t="s">
        <v>1575</v>
      </c>
      <c r="C831" s="99" t="s">
        <v>1550</v>
      </c>
      <c r="D831" s="99" t="s">
        <v>1551</v>
      </c>
      <c r="E831" s="93">
        <v>55</v>
      </c>
      <c r="F831" s="94" t="s">
        <v>1543</v>
      </c>
      <c r="G831" s="95" t="s">
        <v>188</v>
      </c>
      <c r="H831" s="94">
        <v>103969842</v>
      </c>
      <c r="I831" s="101">
        <f t="shared" si="48"/>
        <v>44987.501388888886</v>
      </c>
      <c r="J831" s="102">
        <f t="shared" si="49"/>
        <v>3</v>
      </c>
      <c r="K831" s="103">
        <f t="shared" si="50"/>
        <v>2</v>
      </c>
      <c r="L831" s="83">
        <f t="shared" si="51"/>
        <v>12</v>
      </c>
    </row>
    <row r="832" spans="1:12" x14ac:dyDescent="0.25">
      <c r="A832" s="105">
        <v>44987.609722222223</v>
      </c>
      <c r="B832" s="107" t="s">
        <v>1582</v>
      </c>
      <c r="C832" s="99" t="s">
        <v>1557</v>
      </c>
      <c r="D832" s="99" t="s">
        <v>1558</v>
      </c>
      <c r="E832" s="93">
        <v>97</v>
      </c>
      <c r="F832" s="94" t="s">
        <v>1544</v>
      </c>
      <c r="G832" s="95" t="s">
        <v>190</v>
      </c>
      <c r="H832" s="94">
        <v>105236970</v>
      </c>
      <c r="I832" s="101">
        <f t="shared" si="48"/>
        <v>44987.609722222223</v>
      </c>
      <c r="J832" s="102">
        <f t="shared" si="49"/>
        <v>3</v>
      </c>
      <c r="K832" s="103">
        <f t="shared" si="50"/>
        <v>2</v>
      </c>
      <c r="L832" s="83">
        <f t="shared" si="51"/>
        <v>14</v>
      </c>
    </row>
    <row r="833" spans="1:12" x14ac:dyDescent="0.25">
      <c r="A833" s="105">
        <v>44987.479861111111</v>
      </c>
      <c r="B833" s="107" t="s">
        <v>1586</v>
      </c>
      <c r="C833" s="99" t="s">
        <v>1562</v>
      </c>
      <c r="D833" s="99" t="s">
        <v>1563</v>
      </c>
      <c r="E833" s="93">
        <v>174</v>
      </c>
      <c r="F833" s="94" t="s">
        <v>1544</v>
      </c>
      <c r="G833" s="95" t="s">
        <v>192</v>
      </c>
      <c r="H833" s="94">
        <v>103979658</v>
      </c>
      <c r="I833" s="101">
        <f t="shared" si="48"/>
        <v>44987.479861111111</v>
      </c>
      <c r="J833" s="102">
        <f t="shared" si="49"/>
        <v>3</v>
      </c>
      <c r="K833" s="103">
        <f t="shared" si="50"/>
        <v>2</v>
      </c>
      <c r="L833" s="83">
        <f t="shared" si="51"/>
        <v>11</v>
      </c>
    </row>
    <row r="834" spans="1:12" x14ac:dyDescent="0.25">
      <c r="A834" s="105">
        <v>44987.677777777775</v>
      </c>
      <c r="B834" s="107" t="s">
        <v>1589</v>
      </c>
      <c r="C834" s="99" t="s">
        <v>1576</v>
      </c>
      <c r="D834" s="99" t="s">
        <v>1577</v>
      </c>
      <c r="E834" s="93">
        <v>20</v>
      </c>
      <c r="F834" s="94" t="s">
        <v>1544</v>
      </c>
      <c r="G834" s="95" t="s">
        <v>194</v>
      </c>
      <c r="H834" s="94">
        <v>104302391</v>
      </c>
      <c r="I834" s="101">
        <f t="shared" si="48"/>
        <v>44987.677777777775</v>
      </c>
      <c r="J834" s="102">
        <f t="shared" si="49"/>
        <v>3</v>
      </c>
      <c r="K834" s="103">
        <f t="shared" si="50"/>
        <v>2</v>
      </c>
      <c r="L834" s="83">
        <f t="shared" si="51"/>
        <v>16</v>
      </c>
    </row>
    <row r="835" spans="1:12" x14ac:dyDescent="0.25">
      <c r="A835" s="105">
        <v>44987.442361111112</v>
      </c>
      <c r="B835" s="107" t="s">
        <v>1590</v>
      </c>
      <c r="C835" s="99" t="s">
        <v>1569</v>
      </c>
      <c r="D835" s="99" t="s">
        <v>1570</v>
      </c>
      <c r="E835" s="93">
        <v>115</v>
      </c>
      <c r="F835" s="94" t="s">
        <v>1543</v>
      </c>
      <c r="G835" s="95" t="s">
        <v>196</v>
      </c>
      <c r="H835" s="94">
        <v>103771808</v>
      </c>
      <c r="I835" s="101">
        <f t="shared" ref="I835:I898" si="52">A835</f>
        <v>44987.442361111112</v>
      </c>
      <c r="J835" s="102">
        <f t="shared" ref="J835:J898" si="53">MONTH(A835)</f>
        <v>3</v>
      </c>
      <c r="K835" s="103">
        <f t="shared" ref="K835:K898" si="54">DAY(A835)</f>
        <v>2</v>
      </c>
      <c r="L835" s="83">
        <f t="shared" ref="L835:L898" si="55">HOUR(A835)</f>
        <v>10</v>
      </c>
    </row>
    <row r="836" spans="1:12" x14ac:dyDescent="0.25">
      <c r="A836" s="105">
        <v>44987.598611111112</v>
      </c>
      <c r="B836" s="107" t="s">
        <v>1591</v>
      </c>
      <c r="C836" s="99" t="s">
        <v>1548</v>
      </c>
      <c r="D836" s="99" t="s">
        <v>1549</v>
      </c>
      <c r="E836" s="93">
        <v>91.71</v>
      </c>
      <c r="F836" s="94" t="s">
        <v>1543</v>
      </c>
      <c r="G836" s="95" t="s">
        <v>198</v>
      </c>
      <c r="H836" s="94">
        <v>103018409</v>
      </c>
      <c r="I836" s="101">
        <f t="shared" si="52"/>
        <v>44987.598611111112</v>
      </c>
      <c r="J836" s="102">
        <f t="shared" si="53"/>
        <v>3</v>
      </c>
      <c r="K836" s="103">
        <f t="shared" si="54"/>
        <v>2</v>
      </c>
      <c r="L836" s="83">
        <f t="shared" si="55"/>
        <v>14</v>
      </c>
    </row>
    <row r="837" spans="1:12" x14ac:dyDescent="0.25">
      <c r="A837" s="105">
        <v>44987.678472222222</v>
      </c>
      <c r="B837" s="107" t="s">
        <v>1592</v>
      </c>
      <c r="C837" s="99" t="s">
        <v>1559</v>
      </c>
      <c r="D837" s="99" t="s">
        <v>1560</v>
      </c>
      <c r="E837" s="93">
        <v>50</v>
      </c>
      <c r="F837" s="94" t="s">
        <v>1543</v>
      </c>
      <c r="G837" s="95" t="s">
        <v>200</v>
      </c>
      <c r="H837" s="94">
        <v>104702106</v>
      </c>
      <c r="I837" s="101">
        <f t="shared" si="52"/>
        <v>44987.678472222222</v>
      </c>
      <c r="J837" s="102">
        <f t="shared" si="53"/>
        <v>3</v>
      </c>
      <c r="K837" s="103">
        <f t="shared" si="54"/>
        <v>2</v>
      </c>
      <c r="L837" s="83">
        <f t="shared" si="55"/>
        <v>16</v>
      </c>
    </row>
    <row r="838" spans="1:12" x14ac:dyDescent="0.25">
      <c r="A838" s="105">
        <v>44987.651388888888</v>
      </c>
      <c r="B838" s="107" t="s">
        <v>1593</v>
      </c>
      <c r="C838" s="99" t="s">
        <v>1571</v>
      </c>
      <c r="D838" s="99" t="s">
        <v>1572</v>
      </c>
      <c r="E838" s="93">
        <v>61.03</v>
      </c>
      <c r="F838" s="94" t="s">
        <v>1543</v>
      </c>
      <c r="G838" s="95" t="s">
        <v>202</v>
      </c>
      <c r="H838" s="94">
        <v>101401256</v>
      </c>
      <c r="I838" s="101">
        <f t="shared" si="52"/>
        <v>44987.651388888888</v>
      </c>
      <c r="J838" s="102">
        <f t="shared" si="53"/>
        <v>3</v>
      </c>
      <c r="K838" s="103">
        <f t="shared" si="54"/>
        <v>2</v>
      </c>
      <c r="L838" s="83">
        <f t="shared" si="55"/>
        <v>15</v>
      </c>
    </row>
    <row r="839" spans="1:12" x14ac:dyDescent="0.25">
      <c r="A839" s="105">
        <v>44987.61041666667</v>
      </c>
      <c r="B839" s="107" t="s">
        <v>1594</v>
      </c>
      <c r="C839" s="99" t="s">
        <v>1550</v>
      </c>
      <c r="D839" s="99" t="s">
        <v>1551</v>
      </c>
      <c r="E839" s="93">
        <v>168.96</v>
      </c>
      <c r="F839" s="94" t="s">
        <v>1543</v>
      </c>
      <c r="G839" s="95" t="s">
        <v>204</v>
      </c>
      <c r="H839" s="94">
        <v>104845811</v>
      </c>
      <c r="I839" s="101">
        <f t="shared" si="52"/>
        <v>44987.61041666667</v>
      </c>
      <c r="J839" s="102">
        <f t="shared" si="53"/>
        <v>3</v>
      </c>
      <c r="K839" s="103">
        <f t="shared" si="54"/>
        <v>2</v>
      </c>
      <c r="L839" s="83">
        <f t="shared" si="55"/>
        <v>14</v>
      </c>
    </row>
    <row r="840" spans="1:12" x14ac:dyDescent="0.25">
      <c r="A840" s="105">
        <v>44987.59652777778</v>
      </c>
      <c r="B840" s="107" t="s">
        <v>1595</v>
      </c>
      <c r="C840" s="99" t="s">
        <v>1557</v>
      </c>
      <c r="D840" s="99" t="s">
        <v>1558</v>
      </c>
      <c r="E840" s="93">
        <v>152</v>
      </c>
      <c r="F840" s="94" t="s">
        <v>1543</v>
      </c>
      <c r="G840" s="95" t="s">
        <v>206</v>
      </c>
      <c r="H840" s="94">
        <v>103639171</v>
      </c>
      <c r="I840" s="101">
        <f t="shared" si="52"/>
        <v>44987.59652777778</v>
      </c>
      <c r="J840" s="102">
        <f t="shared" si="53"/>
        <v>3</v>
      </c>
      <c r="K840" s="103">
        <f t="shared" si="54"/>
        <v>2</v>
      </c>
      <c r="L840" s="83">
        <f t="shared" si="55"/>
        <v>14</v>
      </c>
    </row>
    <row r="841" spans="1:12" x14ac:dyDescent="0.25">
      <c r="A841" s="105">
        <v>44987.604861111111</v>
      </c>
      <c r="B841" s="107" t="s">
        <v>1597</v>
      </c>
      <c r="C841" s="99" t="s">
        <v>1555</v>
      </c>
      <c r="D841" s="99" t="s">
        <v>1556</v>
      </c>
      <c r="E841" s="93">
        <v>189</v>
      </c>
      <c r="F841" s="94" t="s">
        <v>1544</v>
      </c>
      <c r="G841" s="95" t="s">
        <v>208</v>
      </c>
      <c r="H841" s="94">
        <v>105279757</v>
      </c>
      <c r="I841" s="101">
        <f t="shared" si="52"/>
        <v>44987.604861111111</v>
      </c>
      <c r="J841" s="102">
        <f t="shared" si="53"/>
        <v>3</v>
      </c>
      <c r="K841" s="103">
        <f t="shared" si="54"/>
        <v>2</v>
      </c>
      <c r="L841" s="83">
        <f t="shared" si="55"/>
        <v>14</v>
      </c>
    </row>
    <row r="842" spans="1:12" x14ac:dyDescent="0.25">
      <c r="A842" s="105">
        <v>44987.566666666666</v>
      </c>
      <c r="B842" s="107" t="s">
        <v>1547</v>
      </c>
      <c r="C842" s="99" t="s">
        <v>1548</v>
      </c>
      <c r="D842" s="99" t="s">
        <v>1549</v>
      </c>
      <c r="E842" s="93">
        <v>20</v>
      </c>
      <c r="F842" s="94" t="s">
        <v>1543</v>
      </c>
      <c r="G842" s="95" t="s">
        <v>210</v>
      </c>
      <c r="H842" s="94">
        <v>104965801</v>
      </c>
      <c r="I842" s="101">
        <f t="shared" si="52"/>
        <v>44987.566666666666</v>
      </c>
      <c r="J842" s="102">
        <f t="shared" si="53"/>
        <v>3</v>
      </c>
      <c r="K842" s="103">
        <f t="shared" si="54"/>
        <v>2</v>
      </c>
      <c r="L842" s="83">
        <f t="shared" si="55"/>
        <v>13</v>
      </c>
    </row>
    <row r="843" spans="1:12" x14ac:dyDescent="0.25">
      <c r="A843" s="105">
        <v>44987.679861111108</v>
      </c>
      <c r="B843" s="107" t="s">
        <v>1554</v>
      </c>
      <c r="C843" s="99" t="s">
        <v>1550</v>
      </c>
      <c r="D843" s="99" t="s">
        <v>1551</v>
      </c>
      <c r="E843" s="93">
        <v>11</v>
      </c>
      <c r="F843" s="94" t="s">
        <v>1544</v>
      </c>
      <c r="G843" s="95" t="s">
        <v>212</v>
      </c>
      <c r="H843" s="94">
        <v>104702106</v>
      </c>
      <c r="I843" s="101">
        <f t="shared" si="52"/>
        <v>44987.679861111108</v>
      </c>
      <c r="J843" s="102">
        <f t="shared" si="53"/>
        <v>3</v>
      </c>
      <c r="K843" s="103">
        <f t="shared" si="54"/>
        <v>2</v>
      </c>
      <c r="L843" s="83">
        <f t="shared" si="55"/>
        <v>16</v>
      </c>
    </row>
    <row r="844" spans="1:12" x14ac:dyDescent="0.25">
      <c r="A844" s="105">
        <v>44987.536805555559</v>
      </c>
      <c r="B844" s="107" t="s">
        <v>1561</v>
      </c>
      <c r="C844" s="99" t="s">
        <v>1552</v>
      </c>
      <c r="D844" s="99" t="s">
        <v>1553</v>
      </c>
      <c r="E844" s="93">
        <v>164.63</v>
      </c>
      <c r="F844" s="94" t="s">
        <v>1544</v>
      </c>
      <c r="G844" s="95" t="s">
        <v>214</v>
      </c>
      <c r="H844" s="94">
        <v>104038492</v>
      </c>
      <c r="I844" s="101">
        <f t="shared" si="52"/>
        <v>44987.536805555559</v>
      </c>
      <c r="J844" s="102">
        <f t="shared" si="53"/>
        <v>3</v>
      </c>
      <c r="K844" s="103">
        <f t="shared" si="54"/>
        <v>2</v>
      </c>
      <c r="L844" s="83">
        <f t="shared" si="55"/>
        <v>12</v>
      </c>
    </row>
    <row r="845" spans="1:12" x14ac:dyDescent="0.25">
      <c r="A845" s="105">
        <v>44987.47152777778</v>
      </c>
      <c r="B845" s="107" t="s">
        <v>1568</v>
      </c>
      <c r="C845" s="99" t="s">
        <v>1555</v>
      </c>
      <c r="D845" s="99" t="s">
        <v>1556</v>
      </c>
      <c r="E845" s="93">
        <v>152</v>
      </c>
      <c r="F845" s="94" t="s">
        <v>1543</v>
      </c>
      <c r="G845" s="95" t="s">
        <v>216</v>
      </c>
      <c r="H845" s="94">
        <v>105093565</v>
      </c>
      <c r="I845" s="101">
        <f t="shared" si="52"/>
        <v>44987.47152777778</v>
      </c>
      <c r="J845" s="102">
        <f t="shared" si="53"/>
        <v>3</v>
      </c>
      <c r="K845" s="103">
        <f t="shared" si="54"/>
        <v>2</v>
      </c>
      <c r="L845" s="83">
        <f t="shared" si="55"/>
        <v>11</v>
      </c>
    </row>
    <row r="846" spans="1:12" x14ac:dyDescent="0.25">
      <c r="A846" s="105">
        <v>44987.724305555559</v>
      </c>
      <c r="B846" s="107" t="s">
        <v>1575</v>
      </c>
      <c r="C846" s="99" t="s">
        <v>1557</v>
      </c>
      <c r="D846" s="99" t="s">
        <v>1558</v>
      </c>
      <c r="E846" s="93">
        <v>35</v>
      </c>
      <c r="F846" s="94" t="s">
        <v>1543</v>
      </c>
      <c r="G846" s="95" t="s">
        <v>218</v>
      </c>
      <c r="H846" s="94">
        <v>104128299</v>
      </c>
      <c r="I846" s="101">
        <f t="shared" si="52"/>
        <v>44987.724305555559</v>
      </c>
      <c r="J846" s="102">
        <f t="shared" si="53"/>
        <v>3</v>
      </c>
      <c r="K846" s="103">
        <f t="shared" si="54"/>
        <v>2</v>
      </c>
      <c r="L846" s="83">
        <f t="shared" si="55"/>
        <v>17</v>
      </c>
    </row>
    <row r="847" spans="1:12" x14ac:dyDescent="0.25">
      <c r="A847" s="105">
        <v>44987.642361111109</v>
      </c>
      <c r="B847" s="107" t="s">
        <v>1582</v>
      </c>
      <c r="C847" s="99" t="s">
        <v>1559</v>
      </c>
      <c r="D847" s="99" t="s">
        <v>1560</v>
      </c>
      <c r="E847" s="93">
        <v>20</v>
      </c>
      <c r="F847" s="94" t="s">
        <v>1543</v>
      </c>
      <c r="G847" s="95" t="s">
        <v>220</v>
      </c>
      <c r="H847" s="94">
        <v>105516522</v>
      </c>
      <c r="I847" s="101">
        <f t="shared" si="52"/>
        <v>44987.642361111109</v>
      </c>
      <c r="J847" s="102">
        <f t="shared" si="53"/>
        <v>3</v>
      </c>
      <c r="K847" s="103">
        <f t="shared" si="54"/>
        <v>2</v>
      </c>
      <c r="L847" s="83">
        <f t="shared" si="55"/>
        <v>15</v>
      </c>
    </row>
    <row r="848" spans="1:12" x14ac:dyDescent="0.25">
      <c r="A848" s="105">
        <v>44987.547222222223</v>
      </c>
      <c r="B848" s="107" t="s">
        <v>1586</v>
      </c>
      <c r="C848" s="99" t="s">
        <v>1562</v>
      </c>
      <c r="D848" s="99" t="s">
        <v>1563</v>
      </c>
      <c r="E848" s="93">
        <v>42.65</v>
      </c>
      <c r="F848" s="94" t="s">
        <v>1543</v>
      </c>
      <c r="G848" s="95" t="s">
        <v>222</v>
      </c>
      <c r="H848" s="94">
        <v>104845680</v>
      </c>
      <c r="I848" s="101">
        <f t="shared" si="52"/>
        <v>44987.547222222223</v>
      </c>
      <c r="J848" s="102">
        <f t="shared" si="53"/>
        <v>3</v>
      </c>
      <c r="K848" s="103">
        <f t="shared" si="54"/>
        <v>2</v>
      </c>
      <c r="L848" s="83">
        <f t="shared" si="55"/>
        <v>13</v>
      </c>
    </row>
    <row r="849" spans="1:12" x14ac:dyDescent="0.25">
      <c r="A849" s="105">
        <v>44987.477777777778</v>
      </c>
      <c r="B849" s="107" t="s">
        <v>1589</v>
      </c>
      <c r="C849" s="99" t="s">
        <v>1564</v>
      </c>
      <c r="D849" s="99" t="s">
        <v>1565</v>
      </c>
      <c r="E849" s="93">
        <v>8.7799999999999994</v>
      </c>
      <c r="F849" s="94" t="s">
        <v>1544</v>
      </c>
      <c r="G849" s="95" t="s">
        <v>224</v>
      </c>
      <c r="H849" s="94">
        <v>104632198</v>
      </c>
      <c r="I849" s="101">
        <f t="shared" si="52"/>
        <v>44987.477777777778</v>
      </c>
      <c r="J849" s="102">
        <f t="shared" si="53"/>
        <v>3</v>
      </c>
      <c r="K849" s="103">
        <f t="shared" si="54"/>
        <v>2</v>
      </c>
      <c r="L849" s="83">
        <f t="shared" si="55"/>
        <v>11</v>
      </c>
    </row>
    <row r="850" spans="1:12" x14ac:dyDescent="0.25">
      <c r="A850" s="105">
        <v>44987.496527777781</v>
      </c>
      <c r="B850" s="107" t="s">
        <v>1590</v>
      </c>
      <c r="C850" s="99" t="s">
        <v>1566</v>
      </c>
      <c r="D850" s="99" t="s">
        <v>1567</v>
      </c>
      <c r="E850" s="93">
        <v>39</v>
      </c>
      <c r="F850" s="94" t="s">
        <v>1544</v>
      </c>
      <c r="G850" s="95" t="s">
        <v>226</v>
      </c>
      <c r="H850" s="94">
        <v>102952462</v>
      </c>
      <c r="I850" s="101">
        <f t="shared" si="52"/>
        <v>44987.496527777781</v>
      </c>
      <c r="J850" s="102">
        <f t="shared" si="53"/>
        <v>3</v>
      </c>
      <c r="K850" s="103">
        <f t="shared" si="54"/>
        <v>2</v>
      </c>
      <c r="L850" s="83">
        <f t="shared" si="55"/>
        <v>11</v>
      </c>
    </row>
    <row r="851" spans="1:12" x14ac:dyDescent="0.25">
      <c r="A851" s="105">
        <v>44987.519444444442</v>
      </c>
      <c r="B851" s="107" t="s">
        <v>1591</v>
      </c>
      <c r="C851" s="99" t="s">
        <v>1569</v>
      </c>
      <c r="D851" s="99" t="s">
        <v>1570</v>
      </c>
      <c r="E851" s="93">
        <v>358.93</v>
      </c>
      <c r="F851" s="94" t="s">
        <v>1543</v>
      </c>
      <c r="G851" s="95" t="s">
        <v>228</v>
      </c>
      <c r="H851" s="94">
        <v>103527773</v>
      </c>
      <c r="I851" s="101">
        <f t="shared" si="52"/>
        <v>44987.519444444442</v>
      </c>
      <c r="J851" s="102">
        <f t="shared" si="53"/>
        <v>3</v>
      </c>
      <c r="K851" s="103">
        <f t="shared" si="54"/>
        <v>2</v>
      </c>
      <c r="L851" s="83">
        <f t="shared" si="55"/>
        <v>12</v>
      </c>
    </row>
    <row r="852" spans="1:12" x14ac:dyDescent="0.25">
      <c r="A852" s="105">
        <v>44987.577777777777</v>
      </c>
      <c r="B852" s="107" t="s">
        <v>1592</v>
      </c>
      <c r="C852" s="99" t="s">
        <v>1571</v>
      </c>
      <c r="D852" s="99" t="s">
        <v>1572</v>
      </c>
      <c r="E852" s="93">
        <v>840</v>
      </c>
      <c r="F852" s="94" t="s">
        <v>1544</v>
      </c>
      <c r="G852" s="95" t="s">
        <v>230</v>
      </c>
      <c r="H852" s="94">
        <v>103959032</v>
      </c>
      <c r="I852" s="101">
        <f t="shared" si="52"/>
        <v>44987.577777777777</v>
      </c>
      <c r="J852" s="102">
        <f t="shared" si="53"/>
        <v>3</v>
      </c>
      <c r="K852" s="103">
        <f t="shared" si="54"/>
        <v>2</v>
      </c>
      <c r="L852" s="83">
        <f t="shared" si="55"/>
        <v>13</v>
      </c>
    </row>
    <row r="853" spans="1:12" x14ac:dyDescent="0.25">
      <c r="A853" s="105">
        <v>44987.640277777777</v>
      </c>
      <c r="B853" s="107" t="s">
        <v>1593</v>
      </c>
      <c r="C853" s="99" t="s">
        <v>1573</v>
      </c>
      <c r="D853" s="99" t="s">
        <v>1574</v>
      </c>
      <c r="E853" s="93">
        <v>88</v>
      </c>
      <c r="F853" s="94" t="s">
        <v>1544</v>
      </c>
      <c r="G853" s="95" t="s">
        <v>232</v>
      </c>
      <c r="H853" s="94">
        <v>105516522</v>
      </c>
      <c r="I853" s="101">
        <f t="shared" si="52"/>
        <v>44987.640277777777</v>
      </c>
      <c r="J853" s="102">
        <f t="shared" si="53"/>
        <v>3</v>
      </c>
      <c r="K853" s="103">
        <f t="shared" si="54"/>
        <v>2</v>
      </c>
      <c r="L853" s="83">
        <f t="shared" si="55"/>
        <v>15</v>
      </c>
    </row>
    <row r="854" spans="1:12" x14ac:dyDescent="0.25">
      <c r="A854" s="105">
        <v>44987.75277777778</v>
      </c>
      <c r="B854" s="107" t="s">
        <v>1594</v>
      </c>
      <c r="C854" s="99" t="s">
        <v>1576</v>
      </c>
      <c r="D854" s="99" t="s">
        <v>1577</v>
      </c>
      <c r="E854" s="93">
        <v>50</v>
      </c>
      <c r="F854" s="94" t="s">
        <v>1543</v>
      </c>
      <c r="G854" s="95" t="s">
        <v>234</v>
      </c>
      <c r="H854" s="94">
        <v>104292981</v>
      </c>
      <c r="I854" s="101">
        <f t="shared" si="52"/>
        <v>44987.75277777778</v>
      </c>
      <c r="J854" s="102">
        <f t="shared" si="53"/>
        <v>3</v>
      </c>
      <c r="K854" s="103">
        <f t="shared" si="54"/>
        <v>2</v>
      </c>
      <c r="L854" s="83">
        <f t="shared" si="55"/>
        <v>18</v>
      </c>
    </row>
    <row r="855" spans="1:12" x14ac:dyDescent="0.25">
      <c r="A855" s="105">
        <v>44987.756944444445</v>
      </c>
      <c r="B855" s="107" t="s">
        <v>1595</v>
      </c>
      <c r="C855" s="99" t="s">
        <v>1578</v>
      </c>
      <c r="D855" s="99" t="s">
        <v>1579</v>
      </c>
      <c r="E855" s="93">
        <v>60.88</v>
      </c>
      <c r="F855" s="94" t="s">
        <v>1543</v>
      </c>
      <c r="G855" s="95" t="s">
        <v>236</v>
      </c>
      <c r="H855" s="94">
        <v>103515600</v>
      </c>
      <c r="I855" s="101">
        <f t="shared" si="52"/>
        <v>44987.756944444445</v>
      </c>
      <c r="J855" s="102">
        <f t="shared" si="53"/>
        <v>3</v>
      </c>
      <c r="K855" s="103">
        <f t="shared" si="54"/>
        <v>2</v>
      </c>
      <c r="L855" s="83">
        <f t="shared" si="55"/>
        <v>18</v>
      </c>
    </row>
    <row r="856" spans="1:12" x14ac:dyDescent="0.25">
      <c r="A856" s="105">
        <v>44987.595833333333</v>
      </c>
      <c r="B856" s="107" t="s">
        <v>1597</v>
      </c>
      <c r="C856" s="99" t="s">
        <v>1580</v>
      </c>
      <c r="D856" s="99" t="s">
        <v>1581</v>
      </c>
      <c r="E856" s="93">
        <v>33</v>
      </c>
      <c r="F856" s="94" t="s">
        <v>1544</v>
      </c>
      <c r="G856" s="95" t="s">
        <v>241</v>
      </c>
      <c r="H856" s="94">
        <v>105057101</v>
      </c>
      <c r="I856" s="101">
        <f t="shared" si="52"/>
        <v>44987.595833333333</v>
      </c>
      <c r="J856" s="102">
        <f t="shared" si="53"/>
        <v>3</v>
      </c>
      <c r="K856" s="103">
        <f t="shared" si="54"/>
        <v>2</v>
      </c>
      <c r="L856" s="83">
        <f t="shared" si="55"/>
        <v>14</v>
      </c>
    </row>
    <row r="857" spans="1:12" x14ac:dyDescent="0.25">
      <c r="A857" s="105">
        <v>44987.472916666666</v>
      </c>
      <c r="B857" s="107" t="s">
        <v>1547</v>
      </c>
      <c r="C857" s="99" t="s">
        <v>1548</v>
      </c>
      <c r="D857" s="99" t="s">
        <v>1549</v>
      </c>
      <c r="E857" s="93">
        <v>10</v>
      </c>
      <c r="F857" s="94" t="s">
        <v>1544</v>
      </c>
      <c r="G857" s="95" t="s">
        <v>243</v>
      </c>
      <c r="H857" s="94">
        <v>105355446</v>
      </c>
      <c r="I857" s="101">
        <f t="shared" si="52"/>
        <v>44987.472916666666</v>
      </c>
      <c r="J857" s="102">
        <f t="shared" si="53"/>
        <v>3</v>
      </c>
      <c r="K857" s="103">
        <f t="shared" si="54"/>
        <v>2</v>
      </c>
      <c r="L857" s="83">
        <f t="shared" si="55"/>
        <v>11</v>
      </c>
    </row>
    <row r="858" spans="1:12" x14ac:dyDescent="0.25">
      <c r="A858" s="105">
        <v>44987.504166666666</v>
      </c>
      <c r="B858" s="107" t="s">
        <v>1554</v>
      </c>
      <c r="C858" s="99" t="s">
        <v>1583</v>
      </c>
      <c r="D858" s="99" t="s">
        <v>1574</v>
      </c>
      <c r="E858" s="93">
        <v>90.98</v>
      </c>
      <c r="F858" s="94" t="s">
        <v>1543</v>
      </c>
      <c r="G858" s="95" t="s">
        <v>245</v>
      </c>
      <c r="H858" s="94">
        <v>105649068</v>
      </c>
      <c r="I858" s="101">
        <f t="shared" si="52"/>
        <v>44987.504166666666</v>
      </c>
      <c r="J858" s="102">
        <f t="shared" si="53"/>
        <v>3</v>
      </c>
      <c r="K858" s="103">
        <f t="shared" si="54"/>
        <v>2</v>
      </c>
      <c r="L858" s="83">
        <f t="shared" si="55"/>
        <v>12</v>
      </c>
    </row>
    <row r="859" spans="1:12" x14ac:dyDescent="0.25">
      <c r="A859" s="105">
        <v>44987.691666666666</v>
      </c>
      <c r="B859" s="107" t="s">
        <v>1561</v>
      </c>
      <c r="C859" s="99" t="s">
        <v>1584</v>
      </c>
      <c r="D859" s="99" t="s">
        <v>1585</v>
      </c>
      <c r="E859" s="93">
        <v>70.34</v>
      </c>
      <c r="F859" s="94" t="s">
        <v>1543</v>
      </c>
      <c r="G859" s="95" t="s">
        <v>247</v>
      </c>
      <c r="H859" s="94">
        <v>103405722</v>
      </c>
      <c r="I859" s="101">
        <f t="shared" si="52"/>
        <v>44987.691666666666</v>
      </c>
      <c r="J859" s="102">
        <f t="shared" si="53"/>
        <v>3</v>
      </c>
      <c r="K859" s="103">
        <f t="shared" si="54"/>
        <v>2</v>
      </c>
      <c r="L859" s="83">
        <f t="shared" si="55"/>
        <v>16</v>
      </c>
    </row>
    <row r="860" spans="1:12" x14ac:dyDescent="0.25">
      <c r="A860" s="105">
        <v>44987.770833333336</v>
      </c>
      <c r="B860" s="107" t="s">
        <v>1568</v>
      </c>
      <c r="C860" s="99" t="s">
        <v>1557</v>
      </c>
      <c r="D860" s="99" t="s">
        <v>1558</v>
      </c>
      <c r="E860" s="93">
        <v>54.06</v>
      </c>
      <c r="F860" s="94" t="s">
        <v>1543</v>
      </c>
      <c r="G860" s="95" t="s">
        <v>249</v>
      </c>
      <c r="H860" s="94">
        <v>102042185</v>
      </c>
      <c r="I860" s="101">
        <f t="shared" si="52"/>
        <v>44987.770833333336</v>
      </c>
      <c r="J860" s="102">
        <f t="shared" si="53"/>
        <v>3</v>
      </c>
      <c r="K860" s="103">
        <f t="shared" si="54"/>
        <v>2</v>
      </c>
      <c r="L860" s="83">
        <f t="shared" si="55"/>
        <v>18</v>
      </c>
    </row>
    <row r="861" spans="1:12" x14ac:dyDescent="0.25">
      <c r="A861" s="105">
        <v>44987.458333333336</v>
      </c>
      <c r="B861" s="107" t="s">
        <v>1575</v>
      </c>
      <c r="C861" s="99" t="s">
        <v>1587</v>
      </c>
      <c r="D861" s="99" t="s">
        <v>1588</v>
      </c>
      <c r="E861" s="93">
        <v>150</v>
      </c>
      <c r="F861" s="94" t="s">
        <v>1544</v>
      </c>
      <c r="G861" s="95" t="s">
        <v>251</v>
      </c>
      <c r="H861" s="94">
        <v>105057101</v>
      </c>
      <c r="I861" s="101">
        <f t="shared" si="52"/>
        <v>44987.458333333336</v>
      </c>
      <c r="J861" s="102">
        <f t="shared" si="53"/>
        <v>3</v>
      </c>
      <c r="K861" s="103">
        <f t="shared" si="54"/>
        <v>2</v>
      </c>
      <c r="L861" s="83">
        <f t="shared" si="55"/>
        <v>11</v>
      </c>
    </row>
    <row r="862" spans="1:12" x14ac:dyDescent="0.25">
      <c r="A862" s="105">
        <v>44987.512499999997</v>
      </c>
      <c r="B862" s="107" t="s">
        <v>1582</v>
      </c>
      <c r="C862" s="99" t="s">
        <v>1564</v>
      </c>
      <c r="D862" s="99" t="s">
        <v>1565</v>
      </c>
      <c r="E862" s="93">
        <v>10</v>
      </c>
      <c r="F862" s="94" t="s">
        <v>1544</v>
      </c>
      <c r="G862" s="95" t="s">
        <v>253</v>
      </c>
      <c r="H862" s="94">
        <v>104616991</v>
      </c>
      <c r="I862" s="101">
        <f t="shared" si="52"/>
        <v>44987.512499999997</v>
      </c>
      <c r="J862" s="102">
        <f t="shared" si="53"/>
        <v>3</v>
      </c>
      <c r="K862" s="103">
        <f t="shared" si="54"/>
        <v>2</v>
      </c>
      <c r="L862" s="83">
        <f t="shared" si="55"/>
        <v>12</v>
      </c>
    </row>
    <row r="863" spans="1:12" x14ac:dyDescent="0.25">
      <c r="A863" s="105">
        <v>44987.623611111114</v>
      </c>
      <c r="B863" s="107" t="s">
        <v>1586</v>
      </c>
      <c r="C863" s="99" t="s">
        <v>1548</v>
      </c>
      <c r="D863" s="99" t="s">
        <v>1549</v>
      </c>
      <c r="E863" s="93">
        <v>5</v>
      </c>
      <c r="F863" s="94" t="s">
        <v>1544</v>
      </c>
      <c r="G863" s="95" t="s">
        <v>255</v>
      </c>
      <c r="H863" s="94">
        <v>103586907</v>
      </c>
      <c r="I863" s="101">
        <f t="shared" si="52"/>
        <v>44987.623611111114</v>
      </c>
      <c r="J863" s="102">
        <f t="shared" si="53"/>
        <v>3</v>
      </c>
      <c r="K863" s="103">
        <f t="shared" si="54"/>
        <v>2</v>
      </c>
      <c r="L863" s="83">
        <f t="shared" si="55"/>
        <v>14</v>
      </c>
    </row>
    <row r="864" spans="1:12" x14ac:dyDescent="0.25">
      <c r="A864" s="105">
        <v>44987.629861111112</v>
      </c>
      <c r="B864" s="107" t="s">
        <v>1589</v>
      </c>
      <c r="C864" s="99" t="s">
        <v>1550</v>
      </c>
      <c r="D864" s="99" t="s">
        <v>1551</v>
      </c>
      <c r="E864" s="93">
        <v>79.63</v>
      </c>
      <c r="F864" s="94" t="s">
        <v>1543</v>
      </c>
      <c r="G864" s="95" t="s">
        <v>257</v>
      </c>
      <c r="H864" s="94">
        <v>104399502</v>
      </c>
      <c r="I864" s="101">
        <f t="shared" si="52"/>
        <v>44987.629861111112</v>
      </c>
      <c r="J864" s="102">
        <f t="shared" si="53"/>
        <v>3</v>
      </c>
      <c r="K864" s="103">
        <f t="shared" si="54"/>
        <v>2</v>
      </c>
      <c r="L864" s="83">
        <f t="shared" si="55"/>
        <v>15</v>
      </c>
    </row>
    <row r="865" spans="1:12" x14ac:dyDescent="0.25">
      <c r="A865" s="105">
        <v>44987.433333333334</v>
      </c>
      <c r="B865" s="107" t="s">
        <v>1590</v>
      </c>
      <c r="C865" s="99" t="s">
        <v>1562</v>
      </c>
      <c r="D865" s="99" t="s">
        <v>1563</v>
      </c>
      <c r="E865" s="93">
        <v>50</v>
      </c>
      <c r="F865" s="94" t="s">
        <v>1544</v>
      </c>
      <c r="G865" s="95" t="s">
        <v>259</v>
      </c>
      <c r="H865" s="94">
        <v>103828210</v>
      </c>
      <c r="I865" s="101">
        <f t="shared" si="52"/>
        <v>44987.433333333334</v>
      </c>
      <c r="J865" s="102">
        <f t="shared" si="53"/>
        <v>3</v>
      </c>
      <c r="K865" s="103">
        <f t="shared" si="54"/>
        <v>2</v>
      </c>
      <c r="L865" s="83">
        <f t="shared" si="55"/>
        <v>10</v>
      </c>
    </row>
    <row r="866" spans="1:12" x14ac:dyDescent="0.25">
      <c r="A866" s="105">
        <v>44987.747916666667</v>
      </c>
      <c r="B866" s="107" t="s">
        <v>1591</v>
      </c>
      <c r="C866" s="99" t="s">
        <v>1552</v>
      </c>
      <c r="D866" s="99" t="s">
        <v>1553</v>
      </c>
      <c r="E866" s="93">
        <v>57.45</v>
      </c>
      <c r="F866" s="94" t="s">
        <v>1543</v>
      </c>
      <c r="G866" s="95" t="s">
        <v>261</v>
      </c>
      <c r="H866" s="94">
        <v>105666878</v>
      </c>
      <c r="I866" s="101">
        <f t="shared" si="52"/>
        <v>44987.747916666667</v>
      </c>
      <c r="J866" s="102">
        <f t="shared" si="53"/>
        <v>3</v>
      </c>
      <c r="K866" s="103">
        <f t="shared" si="54"/>
        <v>2</v>
      </c>
      <c r="L866" s="83">
        <f t="shared" si="55"/>
        <v>17</v>
      </c>
    </row>
    <row r="867" spans="1:12" x14ac:dyDescent="0.25">
      <c r="A867" s="105">
        <v>44987.629166666666</v>
      </c>
      <c r="B867" s="107" t="s">
        <v>1592</v>
      </c>
      <c r="C867" s="99" t="s">
        <v>1555</v>
      </c>
      <c r="D867" s="99" t="s">
        <v>1556</v>
      </c>
      <c r="E867" s="93">
        <v>5</v>
      </c>
      <c r="F867" s="94" t="s">
        <v>1544</v>
      </c>
      <c r="G867" s="95" t="s">
        <v>263</v>
      </c>
      <c r="H867" s="94">
        <v>105180693</v>
      </c>
      <c r="I867" s="101">
        <f t="shared" si="52"/>
        <v>44987.629166666666</v>
      </c>
      <c r="J867" s="102">
        <f t="shared" si="53"/>
        <v>3</v>
      </c>
      <c r="K867" s="103">
        <f t="shared" si="54"/>
        <v>2</v>
      </c>
      <c r="L867" s="83">
        <f t="shared" si="55"/>
        <v>15</v>
      </c>
    </row>
    <row r="868" spans="1:12" x14ac:dyDescent="0.25">
      <c r="A868" s="105">
        <v>44987.650694444441</v>
      </c>
      <c r="B868" s="107" t="s">
        <v>1593</v>
      </c>
      <c r="C868" s="99" t="s">
        <v>1559</v>
      </c>
      <c r="D868" s="99" t="s">
        <v>1560</v>
      </c>
      <c r="E868" s="93">
        <v>72.2</v>
      </c>
      <c r="F868" s="94" t="s">
        <v>1543</v>
      </c>
      <c r="G868" s="95" t="s">
        <v>265</v>
      </c>
      <c r="H868" s="94">
        <v>105406295</v>
      </c>
      <c r="I868" s="101">
        <f t="shared" si="52"/>
        <v>44987.650694444441</v>
      </c>
      <c r="J868" s="102">
        <f t="shared" si="53"/>
        <v>3</v>
      </c>
      <c r="K868" s="103">
        <f t="shared" si="54"/>
        <v>2</v>
      </c>
      <c r="L868" s="83">
        <f t="shared" si="55"/>
        <v>15</v>
      </c>
    </row>
    <row r="869" spans="1:12" x14ac:dyDescent="0.25">
      <c r="A869" s="105">
        <v>44987.467361111114</v>
      </c>
      <c r="B869" s="107" t="s">
        <v>1594</v>
      </c>
      <c r="C869" s="99" t="s">
        <v>1548</v>
      </c>
      <c r="D869" s="99" t="s">
        <v>1549</v>
      </c>
      <c r="E869" s="93">
        <v>110</v>
      </c>
      <c r="F869" s="94" t="s">
        <v>1543</v>
      </c>
      <c r="G869" s="95" t="s">
        <v>268</v>
      </c>
      <c r="H869" s="94">
        <v>103713958</v>
      </c>
      <c r="I869" s="101">
        <f t="shared" si="52"/>
        <v>44987.467361111114</v>
      </c>
      <c r="J869" s="102">
        <f t="shared" si="53"/>
        <v>3</v>
      </c>
      <c r="K869" s="103">
        <f t="shared" si="54"/>
        <v>2</v>
      </c>
      <c r="L869" s="83">
        <f t="shared" si="55"/>
        <v>11</v>
      </c>
    </row>
    <row r="870" spans="1:12" x14ac:dyDescent="0.25">
      <c r="A870" s="105">
        <v>44987.698611111111</v>
      </c>
      <c r="B870" s="107" t="s">
        <v>1595</v>
      </c>
      <c r="C870" s="99" t="s">
        <v>1566</v>
      </c>
      <c r="D870" s="99" t="s">
        <v>1567</v>
      </c>
      <c r="E870" s="93">
        <v>163.63999999999999</v>
      </c>
      <c r="F870" s="94" t="s">
        <v>1543</v>
      </c>
      <c r="G870" s="95" t="s">
        <v>270</v>
      </c>
      <c r="H870" s="94">
        <v>104430374</v>
      </c>
      <c r="I870" s="101">
        <f t="shared" si="52"/>
        <v>44987.698611111111</v>
      </c>
      <c r="J870" s="102">
        <f t="shared" si="53"/>
        <v>3</v>
      </c>
      <c r="K870" s="103">
        <f t="shared" si="54"/>
        <v>2</v>
      </c>
      <c r="L870" s="83">
        <f t="shared" si="55"/>
        <v>16</v>
      </c>
    </row>
    <row r="871" spans="1:12" x14ac:dyDescent="0.25">
      <c r="A871" s="105">
        <v>44987.677083333336</v>
      </c>
      <c r="B871" s="107" t="s">
        <v>1597</v>
      </c>
      <c r="C871" s="99" t="s">
        <v>1564</v>
      </c>
      <c r="D871" s="99" t="s">
        <v>1565</v>
      </c>
      <c r="E871" s="93">
        <v>48</v>
      </c>
      <c r="F871" s="94" t="s">
        <v>1543</v>
      </c>
      <c r="G871" s="95" t="s">
        <v>272</v>
      </c>
      <c r="H871" s="94">
        <v>103510463</v>
      </c>
      <c r="I871" s="101">
        <f t="shared" si="52"/>
        <v>44987.677083333336</v>
      </c>
      <c r="J871" s="102">
        <f t="shared" si="53"/>
        <v>3</v>
      </c>
      <c r="K871" s="103">
        <f t="shared" si="54"/>
        <v>2</v>
      </c>
      <c r="L871" s="83">
        <f t="shared" si="55"/>
        <v>16</v>
      </c>
    </row>
    <row r="872" spans="1:12" x14ac:dyDescent="0.25">
      <c r="A872" s="105">
        <v>44987.524305555555</v>
      </c>
      <c r="B872" s="107" t="s">
        <v>1547</v>
      </c>
      <c r="C872" s="99" t="s">
        <v>1548</v>
      </c>
      <c r="D872" s="99" t="s">
        <v>1549</v>
      </c>
      <c r="E872" s="93">
        <v>130</v>
      </c>
      <c r="F872" s="94" t="s">
        <v>1543</v>
      </c>
      <c r="G872" s="95" t="s">
        <v>274</v>
      </c>
      <c r="H872" s="94">
        <v>101336014</v>
      </c>
      <c r="I872" s="101">
        <f t="shared" si="52"/>
        <v>44987.524305555555</v>
      </c>
      <c r="J872" s="102">
        <f t="shared" si="53"/>
        <v>3</v>
      </c>
      <c r="K872" s="103">
        <f t="shared" si="54"/>
        <v>2</v>
      </c>
      <c r="L872" s="83">
        <f t="shared" si="55"/>
        <v>12</v>
      </c>
    </row>
    <row r="873" spans="1:12" x14ac:dyDescent="0.25">
      <c r="A873" s="105">
        <v>44987.430555555555</v>
      </c>
      <c r="B873" s="107" t="s">
        <v>1554</v>
      </c>
      <c r="C873" s="99" t="s">
        <v>1550</v>
      </c>
      <c r="D873" s="99" t="s">
        <v>1551</v>
      </c>
      <c r="E873" s="93">
        <v>272.5</v>
      </c>
      <c r="F873" s="94" t="s">
        <v>1543</v>
      </c>
      <c r="G873" s="95" t="s">
        <v>276</v>
      </c>
      <c r="H873" s="94">
        <v>103152528</v>
      </c>
      <c r="I873" s="101">
        <f t="shared" si="52"/>
        <v>44987.430555555555</v>
      </c>
      <c r="J873" s="102">
        <f t="shared" si="53"/>
        <v>3</v>
      </c>
      <c r="K873" s="103">
        <f t="shared" si="54"/>
        <v>2</v>
      </c>
      <c r="L873" s="83">
        <f t="shared" si="55"/>
        <v>10</v>
      </c>
    </row>
    <row r="874" spans="1:12" x14ac:dyDescent="0.25">
      <c r="A874" s="105">
        <v>44987.543749999997</v>
      </c>
      <c r="B874" s="107" t="s">
        <v>1561</v>
      </c>
      <c r="C874" s="99" t="s">
        <v>1557</v>
      </c>
      <c r="D874" s="99" t="s">
        <v>1558</v>
      </c>
      <c r="E874" s="93">
        <v>126.95</v>
      </c>
      <c r="F874" s="94" t="s">
        <v>1543</v>
      </c>
      <c r="G874" s="95" t="s">
        <v>278</v>
      </c>
      <c r="H874" s="94">
        <v>103110354</v>
      </c>
      <c r="I874" s="101">
        <f t="shared" si="52"/>
        <v>44987.543749999997</v>
      </c>
      <c r="J874" s="102">
        <f t="shared" si="53"/>
        <v>3</v>
      </c>
      <c r="K874" s="103">
        <f t="shared" si="54"/>
        <v>2</v>
      </c>
      <c r="L874" s="83">
        <f t="shared" si="55"/>
        <v>13</v>
      </c>
    </row>
    <row r="875" spans="1:12" x14ac:dyDescent="0.25">
      <c r="A875" s="105">
        <v>44987.513888888891</v>
      </c>
      <c r="B875" s="107" t="s">
        <v>1568</v>
      </c>
      <c r="C875" s="99" t="s">
        <v>1562</v>
      </c>
      <c r="D875" s="99" t="s">
        <v>1563</v>
      </c>
      <c r="E875" s="93">
        <v>75.17</v>
      </c>
      <c r="F875" s="94" t="s">
        <v>1543</v>
      </c>
      <c r="G875" s="95" t="s">
        <v>280</v>
      </c>
      <c r="H875" s="94">
        <v>101726902</v>
      </c>
      <c r="I875" s="101">
        <f t="shared" si="52"/>
        <v>44987.513888888891</v>
      </c>
      <c r="J875" s="102">
        <f t="shared" si="53"/>
        <v>3</v>
      </c>
      <c r="K875" s="103">
        <f t="shared" si="54"/>
        <v>2</v>
      </c>
      <c r="L875" s="83">
        <f t="shared" si="55"/>
        <v>12</v>
      </c>
    </row>
    <row r="876" spans="1:12" x14ac:dyDescent="0.25">
      <c r="A876" s="105">
        <v>44987.623611111114</v>
      </c>
      <c r="B876" s="107" t="s">
        <v>1575</v>
      </c>
      <c r="C876" s="99" t="s">
        <v>1576</v>
      </c>
      <c r="D876" s="99" t="s">
        <v>1577</v>
      </c>
      <c r="E876" s="93">
        <v>23.39</v>
      </c>
      <c r="F876" s="94" t="s">
        <v>1543</v>
      </c>
      <c r="G876" s="95" t="s">
        <v>282</v>
      </c>
      <c r="H876" s="94">
        <v>104649737</v>
      </c>
      <c r="I876" s="101">
        <f t="shared" si="52"/>
        <v>44987.623611111114</v>
      </c>
      <c r="J876" s="102">
        <f t="shared" si="53"/>
        <v>3</v>
      </c>
      <c r="K876" s="103">
        <f t="shared" si="54"/>
        <v>2</v>
      </c>
      <c r="L876" s="83">
        <f t="shared" si="55"/>
        <v>14</v>
      </c>
    </row>
    <row r="877" spans="1:12" x14ac:dyDescent="0.25">
      <c r="A877" s="105">
        <v>44987.538888888892</v>
      </c>
      <c r="B877" s="107" t="s">
        <v>1582</v>
      </c>
      <c r="C877" s="99" t="s">
        <v>1569</v>
      </c>
      <c r="D877" s="99" t="s">
        <v>1570</v>
      </c>
      <c r="E877" s="93">
        <v>5.41</v>
      </c>
      <c r="F877" s="94" t="s">
        <v>1543</v>
      </c>
      <c r="G877" s="95" t="s">
        <v>284</v>
      </c>
      <c r="H877" s="94">
        <v>103959628</v>
      </c>
      <c r="I877" s="101">
        <f t="shared" si="52"/>
        <v>44987.538888888892</v>
      </c>
      <c r="J877" s="102">
        <f t="shared" si="53"/>
        <v>3</v>
      </c>
      <c r="K877" s="103">
        <f t="shared" si="54"/>
        <v>2</v>
      </c>
      <c r="L877" s="83">
        <f t="shared" si="55"/>
        <v>12</v>
      </c>
    </row>
    <row r="878" spans="1:12" x14ac:dyDescent="0.25">
      <c r="A878" s="105">
        <v>44987.434027777781</v>
      </c>
      <c r="B878" s="107" t="s">
        <v>1586</v>
      </c>
      <c r="C878" s="99" t="s">
        <v>1548</v>
      </c>
      <c r="D878" s="99" t="s">
        <v>1549</v>
      </c>
      <c r="E878" s="93">
        <v>621.28</v>
      </c>
      <c r="F878" s="94" t="s">
        <v>1543</v>
      </c>
      <c r="G878" s="95" t="s">
        <v>287</v>
      </c>
      <c r="H878" s="94">
        <v>104313798</v>
      </c>
      <c r="I878" s="101">
        <f t="shared" si="52"/>
        <v>44987.434027777781</v>
      </c>
      <c r="J878" s="102">
        <f t="shared" si="53"/>
        <v>3</v>
      </c>
      <c r="K878" s="103">
        <f t="shared" si="54"/>
        <v>2</v>
      </c>
      <c r="L878" s="83">
        <f t="shared" si="55"/>
        <v>10</v>
      </c>
    </row>
    <row r="879" spans="1:12" x14ac:dyDescent="0.25">
      <c r="A879" s="105">
        <v>44987.654861111114</v>
      </c>
      <c r="B879" s="107" t="s">
        <v>1589</v>
      </c>
      <c r="C879" s="99" t="s">
        <v>1559</v>
      </c>
      <c r="D879" s="99" t="s">
        <v>1560</v>
      </c>
      <c r="E879" s="93">
        <v>39</v>
      </c>
      <c r="F879" s="94" t="s">
        <v>1543</v>
      </c>
      <c r="G879" s="95" t="s">
        <v>289</v>
      </c>
      <c r="H879" s="94">
        <v>102952462</v>
      </c>
      <c r="I879" s="101">
        <f t="shared" si="52"/>
        <v>44987.654861111114</v>
      </c>
      <c r="J879" s="102">
        <f t="shared" si="53"/>
        <v>3</v>
      </c>
      <c r="K879" s="103">
        <f t="shared" si="54"/>
        <v>2</v>
      </c>
      <c r="L879" s="83">
        <f t="shared" si="55"/>
        <v>15</v>
      </c>
    </row>
    <row r="880" spans="1:12" x14ac:dyDescent="0.25">
      <c r="A880" s="105">
        <v>44987.594444444447</v>
      </c>
      <c r="B880" s="107" t="s">
        <v>1590</v>
      </c>
      <c r="C880" s="99" t="s">
        <v>1571</v>
      </c>
      <c r="D880" s="99" t="s">
        <v>1572</v>
      </c>
      <c r="E880" s="93">
        <v>25</v>
      </c>
      <c r="F880" s="94" t="s">
        <v>1543</v>
      </c>
      <c r="G880" s="95" t="s">
        <v>291</v>
      </c>
      <c r="H880" s="94">
        <v>105057101</v>
      </c>
      <c r="I880" s="101">
        <f t="shared" si="52"/>
        <v>44987.594444444447</v>
      </c>
      <c r="J880" s="102">
        <f t="shared" si="53"/>
        <v>3</v>
      </c>
      <c r="K880" s="103">
        <f t="shared" si="54"/>
        <v>2</v>
      </c>
      <c r="L880" s="83">
        <f t="shared" si="55"/>
        <v>14</v>
      </c>
    </row>
    <row r="881" spans="1:12" x14ac:dyDescent="0.25">
      <c r="A881" s="105">
        <v>44987.753472222219</v>
      </c>
      <c r="B881" s="107" t="s">
        <v>1591</v>
      </c>
      <c r="C881" s="99" t="s">
        <v>1550</v>
      </c>
      <c r="D881" s="99" t="s">
        <v>1551</v>
      </c>
      <c r="E881" s="93">
        <v>154</v>
      </c>
      <c r="F881" s="94" t="s">
        <v>1543</v>
      </c>
      <c r="G881" s="95" t="s">
        <v>293</v>
      </c>
      <c r="H881" s="94">
        <v>100676939</v>
      </c>
      <c r="I881" s="101">
        <f t="shared" si="52"/>
        <v>44987.753472222219</v>
      </c>
      <c r="J881" s="102">
        <f t="shared" si="53"/>
        <v>3</v>
      </c>
      <c r="K881" s="103">
        <f t="shared" si="54"/>
        <v>2</v>
      </c>
      <c r="L881" s="83">
        <f t="shared" si="55"/>
        <v>18</v>
      </c>
    </row>
    <row r="882" spans="1:12" x14ac:dyDescent="0.25">
      <c r="A882" s="105">
        <v>44987.686111111114</v>
      </c>
      <c r="B882" s="107" t="s">
        <v>1592</v>
      </c>
      <c r="C882" s="99" t="s">
        <v>1557</v>
      </c>
      <c r="D882" s="99" t="s">
        <v>1558</v>
      </c>
      <c r="E882" s="93">
        <v>194.51</v>
      </c>
      <c r="F882" s="94" t="s">
        <v>1543</v>
      </c>
      <c r="G882" s="95" t="s">
        <v>295</v>
      </c>
      <c r="H882" s="94">
        <v>102293454</v>
      </c>
      <c r="I882" s="101">
        <f t="shared" si="52"/>
        <v>44987.686111111114</v>
      </c>
      <c r="J882" s="102">
        <f t="shared" si="53"/>
        <v>3</v>
      </c>
      <c r="K882" s="103">
        <f t="shared" si="54"/>
        <v>2</v>
      </c>
      <c r="L882" s="83">
        <f t="shared" si="55"/>
        <v>16</v>
      </c>
    </row>
    <row r="883" spans="1:12" x14ac:dyDescent="0.25">
      <c r="A883" s="105">
        <v>44987.436111111114</v>
      </c>
      <c r="B883" s="107" t="s">
        <v>1593</v>
      </c>
      <c r="C883" s="99" t="s">
        <v>1555</v>
      </c>
      <c r="D883" s="99" t="s">
        <v>1556</v>
      </c>
      <c r="E883" s="93">
        <v>31.36</v>
      </c>
      <c r="F883" s="94" t="s">
        <v>1543</v>
      </c>
      <c r="G883" s="95" t="s">
        <v>297</v>
      </c>
      <c r="H883" s="94">
        <v>101690642</v>
      </c>
      <c r="I883" s="101">
        <f t="shared" si="52"/>
        <v>44987.436111111114</v>
      </c>
      <c r="J883" s="102">
        <f t="shared" si="53"/>
        <v>3</v>
      </c>
      <c r="K883" s="103">
        <f t="shared" si="54"/>
        <v>2</v>
      </c>
      <c r="L883" s="83">
        <f t="shared" si="55"/>
        <v>10</v>
      </c>
    </row>
    <row r="884" spans="1:12" x14ac:dyDescent="0.25">
      <c r="A884" s="105">
        <v>44987.715277777781</v>
      </c>
      <c r="B884" s="107" t="s">
        <v>1594</v>
      </c>
      <c r="C884" s="99" t="s">
        <v>1548</v>
      </c>
      <c r="D884" s="99" t="s">
        <v>1549</v>
      </c>
      <c r="E884" s="93">
        <v>40</v>
      </c>
      <c r="F884" s="94" t="s">
        <v>1543</v>
      </c>
      <c r="G884" s="95" t="s">
        <v>299</v>
      </c>
      <c r="H884" s="94">
        <v>103211936</v>
      </c>
      <c r="I884" s="101">
        <f t="shared" si="52"/>
        <v>44987.715277777781</v>
      </c>
      <c r="J884" s="102">
        <f t="shared" si="53"/>
        <v>3</v>
      </c>
      <c r="K884" s="103">
        <f t="shared" si="54"/>
        <v>2</v>
      </c>
      <c r="L884" s="83">
        <f t="shared" si="55"/>
        <v>17</v>
      </c>
    </row>
    <row r="885" spans="1:12" x14ac:dyDescent="0.25">
      <c r="A885" s="105">
        <v>44987.720833333333</v>
      </c>
      <c r="B885" s="107" t="s">
        <v>1595</v>
      </c>
      <c r="C885" s="99" t="s">
        <v>1550</v>
      </c>
      <c r="D885" s="99" t="s">
        <v>1551</v>
      </c>
      <c r="E885" s="93">
        <v>94.81</v>
      </c>
      <c r="F885" s="94" t="s">
        <v>1543</v>
      </c>
      <c r="G885" s="95" t="s">
        <v>302</v>
      </c>
      <c r="H885" s="94">
        <v>103289155</v>
      </c>
      <c r="I885" s="101">
        <f t="shared" si="52"/>
        <v>44987.720833333333</v>
      </c>
      <c r="J885" s="102">
        <f t="shared" si="53"/>
        <v>3</v>
      </c>
      <c r="K885" s="103">
        <f t="shared" si="54"/>
        <v>2</v>
      </c>
      <c r="L885" s="83">
        <f t="shared" si="55"/>
        <v>17</v>
      </c>
    </row>
    <row r="886" spans="1:12" x14ac:dyDescent="0.25">
      <c r="A886" s="105">
        <v>44987.679861111108</v>
      </c>
      <c r="B886" s="107" t="s">
        <v>1597</v>
      </c>
      <c r="C886" s="99" t="s">
        <v>1552</v>
      </c>
      <c r="D886" s="99" t="s">
        <v>1553</v>
      </c>
      <c r="E886" s="93">
        <v>132.76</v>
      </c>
      <c r="F886" s="94" t="s">
        <v>1543</v>
      </c>
      <c r="G886" s="95" t="s">
        <v>304</v>
      </c>
      <c r="H886" s="94">
        <v>103858522</v>
      </c>
      <c r="I886" s="101">
        <f t="shared" si="52"/>
        <v>44987.679861111108</v>
      </c>
      <c r="J886" s="102">
        <f t="shared" si="53"/>
        <v>3</v>
      </c>
      <c r="K886" s="103">
        <f t="shared" si="54"/>
        <v>2</v>
      </c>
      <c r="L886" s="83">
        <f t="shared" si="55"/>
        <v>16</v>
      </c>
    </row>
    <row r="887" spans="1:12" x14ac:dyDescent="0.25">
      <c r="A887" s="105">
        <v>44987.484027777777</v>
      </c>
      <c r="B887" s="107" t="s">
        <v>1547</v>
      </c>
      <c r="C887" s="99" t="s">
        <v>1555</v>
      </c>
      <c r="D887" s="99" t="s">
        <v>1556</v>
      </c>
      <c r="E887" s="93">
        <v>37.369999999999997</v>
      </c>
      <c r="F887" s="94" t="s">
        <v>1543</v>
      </c>
      <c r="G887" s="95" t="s">
        <v>306</v>
      </c>
      <c r="H887" s="94">
        <v>103796646</v>
      </c>
      <c r="I887" s="101">
        <f t="shared" si="52"/>
        <v>44987.484027777777</v>
      </c>
      <c r="J887" s="102">
        <f t="shared" si="53"/>
        <v>3</v>
      </c>
      <c r="K887" s="103">
        <f t="shared" si="54"/>
        <v>2</v>
      </c>
      <c r="L887" s="83">
        <f t="shared" si="55"/>
        <v>11</v>
      </c>
    </row>
    <row r="888" spans="1:12" x14ac:dyDescent="0.25">
      <c r="A888" s="105">
        <v>44987.657638888886</v>
      </c>
      <c r="B888" s="107" t="s">
        <v>1554</v>
      </c>
      <c r="C888" s="99" t="s">
        <v>1557</v>
      </c>
      <c r="D888" s="99" t="s">
        <v>1558</v>
      </c>
      <c r="E888" s="93">
        <v>102.95</v>
      </c>
      <c r="F888" s="94" t="s">
        <v>1544</v>
      </c>
      <c r="G888" s="95" t="s">
        <v>308</v>
      </c>
      <c r="H888" s="94">
        <v>105112222</v>
      </c>
      <c r="I888" s="101">
        <f t="shared" si="52"/>
        <v>44987.657638888886</v>
      </c>
      <c r="J888" s="102">
        <f t="shared" si="53"/>
        <v>3</v>
      </c>
      <c r="K888" s="103">
        <f t="shared" si="54"/>
        <v>2</v>
      </c>
      <c r="L888" s="83">
        <f t="shared" si="55"/>
        <v>15</v>
      </c>
    </row>
    <row r="889" spans="1:12" x14ac:dyDescent="0.25">
      <c r="A889" s="105">
        <v>44987.519444444442</v>
      </c>
      <c r="B889" s="107" t="s">
        <v>1561</v>
      </c>
      <c r="C889" s="99" t="s">
        <v>1559</v>
      </c>
      <c r="D889" s="99" t="s">
        <v>1560</v>
      </c>
      <c r="E889" s="93">
        <v>150</v>
      </c>
      <c r="F889" s="94" t="s">
        <v>1543</v>
      </c>
      <c r="G889" s="95" t="s">
        <v>310</v>
      </c>
      <c r="H889" s="94">
        <v>104782463</v>
      </c>
      <c r="I889" s="101">
        <f t="shared" si="52"/>
        <v>44987.519444444442</v>
      </c>
      <c r="J889" s="102">
        <f t="shared" si="53"/>
        <v>3</v>
      </c>
      <c r="K889" s="103">
        <f t="shared" si="54"/>
        <v>2</v>
      </c>
      <c r="L889" s="83">
        <f t="shared" si="55"/>
        <v>12</v>
      </c>
    </row>
    <row r="890" spans="1:12" x14ac:dyDescent="0.25">
      <c r="A890" s="105">
        <v>44987.556250000001</v>
      </c>
      <c r="B890" s="107" t="s">
        <v>1568</v>
      </c>
      <c r="C890" s="99" t="s">
        <v>1562</v>
      </c>
      <c r="D890" s="99" t="s">
        <v>1563</v>
      </c>
      <c r="E890" s="93">
        <v>300</v>
      </c>
      <c r="F890" s="94" t="s">
        <v>1543</v>
      </c>
      <c r="G890" s="95" t="s">
        <v>312</v>
      </c>
      <c r="H890" s="94">
        <v>105537185</v>
      </c>
      <c r="I890" s="101">
        <f t="shared" si="52"/>
        <v>44987.556250000001</v>
      </c>
      <c r="J890" s="102">
        <f t="shared" si="53"/>
        <v>3</v>
      </c>
      <c r="K890" s="103">
        <f t="shared" si="54"/>
        <v>2</v>
      </c>
      <c r="L890" s="83">
        <f t="shared" si="55"/>
        <v>13</v>
      </c>
    </row>
    <row r="891" spans="1:12" x14ac:dyDescent="0.25">
      <c r="A891" s="105">
        <v>44987.45416666667</v>
      </c>
      <c r="B891" s="107" t="s">
        <v>1575</v>
      </c>
      <c r="C891" s="99" t="s">
        <v>1564</v>
      </c>
      <c r="D891" s="99" t="s">
        <v>1565</v>
      </c>
      <c r="E891" s="93">
        <v>65</v>
      </c>
      <c r="F891" s="94" t="s">
        <v>1543</v>
      </c>
      <c r="G891" s="95" t="s">
        <v>314</v>
      </c>
      <c r="H891" s="94">
        <v>105095229</v>
      </c>
      <c r="I891" s="101">
        <f t="shared" si="52"/>
        <v>44987.45416666667</v>
      </c>
      <c r="J891" s="102">
        <f t="shared" si="53"/>
        <v>3</v>
      </c>
      <c r="K891" s="103">
        <f t="shared" si="54"/>
        <v>2</v>
      </c>
      <c r="L891" s="83">
        <f t="shared" si="55"/>
        <v>10</v>
      </c>
    </row>
    <row r="892" spans="1:12" x14ac:dyDescent="0.25">
      <c r="A892" s="105">
        <v>44987.522916666669</v>
      </c>
      <c r="B892" s="107" t="s">
        <v>1582</v>
      </c>
      <c r="C892" s="99" t="s">
        <v>1566</v>
      </c>
      <c r="D892" s="99" t="s">
        <v>1567</v>
      </c>
      <c r="E892" s="93">
        <v>47</v>
      </c>
      <c r="F892" s="94" t="s">
        <v>1543</v>
      </c>
      <c r="G892" s="95" t="s">
        <v>316</v>
      </c>
      <c r="H892" s="94">
        <v>103370471</v>
      </c>
      <c r="I892" s="101">
        <f t="shared" si="52"/>
        <v>44987.522916666669</v>
      </c>
      <c r="J892" s="102">
        <f t="shared" si="53"/>
        <v>3</v>
      </c>
      <c r="K892" s="103">
        <f t="shared" si="54"/>
        <v>2</v>
      </c>
      <c r="L892" s="83">
        <f t="shared" si="55"/>
        <v>12</v>
      </c>
    </row>
    <row r="893" spans="1:12" x14ac:dyDescent="0.25">
      <c r="A893" s="105">
        <v>44987.722222222219</v>
      </c>
      <c r="B893" s="107" t="s">
        <v>1586</v>
      </c>
      <c r="C893" s="99" t="s">
        <v>1569</v>
      </c>
      <c r="D893" s="99" t="s">
        <v>1570</v>
      </c>
      <c r="E893" s="93">
        <v>83.55</v>
      </c>
      <c r="F893" s="94" t="s">
        <v>1543</v>
      </c>
      <c r="G893" s="95" t="s">
        <v>318</v>
      </c>
      <c r="H893" s="94">
        <v>103754652</v>
      </c>
      <c r="I893" s="101">
        <f t="shared" si="52"/>
        <v>44987.722222222219</v>
      </c>
      <c r="J893" s="102">
        <f t="shared" si="53"/>
        <v>3</v>
      </c>
      <c r="K893" s="103">
        <f t="shared" si="54"/>
        <v>2</v>
      </c>
      <c r="L893" s="83">
        <f t="shared" si="55"/>
        <v>17</v>
      </c>
    </row>
    <row r="894" spans="1:12" x14ac:dyDescent="0.25">
      <c r="A894" s="105">
        <v>44987.478472222225</v>
      </c>
      <c r="B894" s="107" t="s">
        <v>1589</v>
      </c>
      <c r="C894" s="99" t="s">
        <v>1571</v>
      </c>
      <c r="D894" s="99" t="s">
        <v>1572</v>
      </c>
      <c r="E894" s="93">
        <v>76.55</v>
      </c>
      <c r="F894" s="94" t="s">
        <v>1543</v>
      </c>
      <c r="G894" s="95" t="s">
        <v>320</v>
      </c>
      <c r="H894" s="94">
        <v>104542745</v>
      </c>
      <c r="I894" s="101">
        <f t="shared" si="52"/>
        <v>44987.478472222225</v>
      </c>
      <c r="J894" s="102">
        <f t="shared" si="53"/>
        <v>3</v>
      </c>
      <c r="K894" s="103">
        <f t="shared" si="54"/>
        <v>2</v>
      </c>
      <c r="L894" s="83">
        <f t="shared" si="55"/>
        <v>11</v>
      </c>
    </row>
    <row r="895" spans="1:12" x14ac:dyDescent="0.25">
      <c r="A895" s="105">
        <v>44987.651388888888</v>
      </c>
      <c r="B895" s="107" t="s">
        <v>1590</v>
      </c>
      <c r="C895" s="99" t="s">
        <v>1573</v>
      </c>
      <c r="D895" s="99" t="s">
        <v>1574</v>
      </c>
      <c r="E895" s="93">
        <v>125</v>
      </c>
      <c r="F895" s="94" t="s">
        <v>1543</v>
      </c>
      <c r="G895" s="95" t="s">
        <v>322</v>
      </c>
      <c r="H895" s="94">
        <v>104182753</v>
      </c>
      <c r="I895" s="101">
        <f t="shared" si="52"/>
        <v>44987.651388888888</v>
      </c>
      <c r="J895" s="102">
        <f t="shared" si="53"/>
        <v>3</v>
      </c>
      <c r="K895" s="103">
        <f t="shared" si="54"/>
        <v>2</v>
      </c>
      <c r="L895" s="83">
        <f t="shared" si="55"/>
        <v>15</v>
      </c>
    </row>
    <row r="896" spans="1:12" x14ac:dyDescent="0.25">
      <c r="A896" s="105">
        <v>44987.445833333331</v>
      </c>
      <c r="B896" s="107" t="s">
        <v>1591</v>
      </c>
      <c r="C896" s="99" t="s">
        <v>1576</v>
      </c>
      <c r="D896" s="99" t="s">
        <v>1577</v>
      </c>
      <c r="E896" s="93">
        <v>42.5</v>
      </c>
      <c r="F896" s="94" t="s">
        <v>1543</v>
      </c>
      <c r="G896" s="95" t="s">
        <v>324</v>
      </c>
      <c r="H896" s="94">
        <v>105183733</v>
      </c>
      <c r="I896" s="101">
        <f t="shared" si="52"/>
        <v>44987.445833333331</v>
      </c>
      <c r="J896" s="102">
        <f t="shared" si="53"/>
        <v>3</v>
      </c>
      <c r="K896" s="103">
        <f t="shared" si="54"/>
        <v>2</v>
      </c>
      <c r="L896" s="83">
        <f t="shared" si="55"/>
        <v>10</v>
      </c>
    </row>
    <row r="897" spans="1:12" x14ac:dyDescent="0.25">
      <c r="A897" s="105">
        <v>44987.633333333331</v>
      </c>
      <c r="B897" s="107" t="s">
        <v>1592</v>
      </c>
      <c r="C897" s="99" t="s">
        <v>1578</v>
      </c>
      <c r="D897" s="99" t="s">
        <v>1579</v>
      </c>
      <c r="E897" s="93">
        <v>51</v>
      </c>
      <c r="F897" s="94" t="s">
        <v>1543</v>
      </c>
      <c r="G897" s="95" t="s">
        <v>326</v>
      </c>
      <c r="H897" s="94">
        <v>105360286</v>
      </c>
      <c r="I897" s="101">
        <f t="shared" si="52"/>
        <v>44987.633333333331</v>
      </c>
      <c r="J897" s="102">
        <f t="shared" si="53"/>
        <v>3</v>
      </c>
      <c r="K897" s="103">
        <f t="shared" si="54"/>
        <v>2</v>
      </c>
      <c r="L897" s="83">
        <f t="shared" si="55"/>
        <v>15</v>
      </c>
    </row>
    <row r="898" spans="1:12" x14ac:dyDescent="0.25">
      <c r="A898" s="105">
        <v>44987.679166666669</v>
      </c>
      <c r="B898" s="107" t="s">
        <v>1593</v>
      </c>
      <c r="C898" s="99" t="s">
        <v>1580</v>
      </c>
      <c r="D898" s="99" t="s">
        <v>1581</v>
      </c>
      <c r="E898" s="93">
        <v>21</v>
      </c>
      <c r="F898" s="94" t="s">
        <v>1544</v>
      </c>
      <c r="G898" s="95" t="s">
        <v>328</v>
      </c>
      <c r="H898" s="94">
        <v>104702106</v>
      </c>
      <c r="I898" s="101">
        <f t="shared" si="52"/>
        <v>44987.679166666669</v>
      </c>
      <c r="J898" s="102">
        <f t="shared" si="53"/>
        <v>3</v>
      </c>
      <c r="K898" s="103">
        <f t="shared" si="54"/>
        <v>2</v>
      </c>
      <c r="L898" s="83">
        <f t="shared" si="55"/>
        <v>16</v>
      </c>
    </row>
    <row r="899" spans="1:12" x14ac:dyDescent="0.25">
      <c r="A899" s="105">
        <v>44987.450694444444</v>
      </c>
      <c r="B899" s="107" t="s">
        <v>1594</v>
      </c>
      <c r="C899" s="99" t="s">
        <v>1548</v>
      </c>
      <c r="D899" s="99" t="s">
        <v>1549</v>
      </c>
      <c r="E899" s="93">
        <v>11.21</v>
      </c>
      <c r="F899" s="94" t="s">
        <v>1543</v>
      </c>
      <c r="G899" s="95" t="s">
        <v>331</v>
      </c>
      <c r="H899" s="94">
        <v>105246029</v>
      </c>
      <c r="I899" s="101">
        <f t="shared" ref="I899:I962" si="56">A899</f>
        <v>44987.450694444444</v>
      </c>
      <c r="J899" s="102">
        <f t="shared" ref="J899:J962" si="57">MONTH(A899)</f>
        <v>3</v>
      </c>
      <c r="K899" s="103">
        <f t="shared" ref="K899:K962" si="58">DAY(A899)</f>
        <v>2</v>
      </c>
      <c r="L899" s="83">
        <f t="shared" ref="L899:L962" si="59">HOUR(A899)</f>
        <v>10</v>
      </c>
    </row>
    <row r="900" spans="1:12" x14ac:dyDescent="0.25">
      <c r="A900" s="105">
        <v>44987.550694444442</v>
      </c>
      <c r="B900" s="107" t="s">
        <v>1595</v>
      </c>
      <c r="C900" s="99" t="s">
        <v>1583</v>
      </c>
      <c r="D900" s="99" t="s">
        <v>1574</v>
      </c>
      <c r="E900" s="93">
        <v>181.04</v>
      </c>
      <c r="F900" s="94" t="s">
        <v>1543</v>
      </c>
      <c r="G900" s="95" t="s">
        <v>333</v>
      </c>
      <c r="H900" s="94">
        <v>105178779</v>
      </c>
      <c r="I900" s="101">
        <f t="shared" si="56"/>
        <v>44987.550694444442</v>
      </c>
      <c r="J900" s="102">
        <f t="shared" si="57"/>
        <v>3</v>
      </c>
      <c r="K900" s="103">
        <f t="shared" si="58"/>
        <v>2</v>
      </c>
      <c r="L900" s="83">
        <f t="shared" si="59"/>
        <v>13</v>
      </c>
    </row>
    <row r="901" spans="1:12" x14ac:dyDescent="0.25">
      <c r="A901" s="105">
        <v>44987.622916666667</v>
      </c>
      <c r="B901" s="107" t="s">
        <v>1597</v>
      </c>
      <c r="C901" s="99" t="s">
        <v>1584</v>
      </c>
      <c r="D901" s="99" t="s">
        <v>1585</v>
      </c>
      <c r="E901" s="93">
        <v>104.45</v>
      </c>
      <c r="F901" s="94" t="s">
        <v>1544</v>
      </c>
      <c r="G901" s="95" t="s">
        <v>335</v>
      </c>
      <c r="H901" s="94">
        <v>104825855</v>
      </c>
      <c r="I901" s="101">
        <f t="shared" si="56"/>
        <v>44987.622916666667</v>
      </c>
      <c r="J901" s="102">
        <f t="shared" si="57"/>
        <v>3</v>
      </c>
      <c r="K901" s="103">
        <f t="shared" si="58"/>
        <v>2</v>
      </c>
      <c r="L901" s="83">
        <f t="shared" si="59"/>
        <v>14</v>
      </c>
    </row>
    <row r="902" spans="1:12" x14ac:dyDescent="0.25">
      <c r="A902" s="105">
        <v>44987.7</v>
      </c>
      <c r="B902" s="107" t="s">
        <v>1547</v>
      </c>
      <c r="C902" s="99" t="s">
        <v>1557</v>
      </c>
      <c r="D902" s="99" t="s">
        <v>1558</v>
      </c>
      <c r="E902" s="93">
        <v>50</v>
      </c>
      <c r="F902" s="94" t="s">
        <v>1543</v>
      </c>
      <c r="G902" s="95" t="s">
        <v>337</v>
      </c>
      <c r="H902" s="94">
        <v>103078773</v>
      </c>
      <c r="I902" s="101">
        <f t="shared" si="56"/>
        <v>44987.7</v>
      </c>
      <c r="J902" s="102">
        <f t="shared" si="57"/>
        <v>3</v>
      </c>
      <c r="K902" s="103">
        <f t="shared" si="58"/>
        <v>2</v>
      </c>
      <c r="L902" s="83">
        <f t="shared" si="59"/>
        <v>16</v>
      </c>
    </row>
    <row r="903" spans="1:12" x14ac:dyDescent="0.25">
      <c r="A903" s="105">
        <v>44987.634027777778</v>
      </c>
      <c r="B903" s="107" t="s">
        <v>1554</v>
      </c>
      <c r="C903" s="99" t="s">
        <v>1587</v>
      </c>
      <c r="D903" s="99" t="s">
        <v>1588</v>
      </c>
      <c r="E903" s="93">
        <v>42</v>
      </c>
      <c r="F903" s="94" t="s">
        <v>1543</v>
      </c>
      <c r="G903" s="95" t="s">
        <v>339</v>
      </c>
      <c r="H903" s="94">
        <v>101809878</v>
      </c>
      <c r="I903" s="101">
        <f t="shared" si="56"/>
        <v>44987.634027777778</v>
      </c>
      <c r="J903" s="102">
        <f t="shared" si="57"/>
        <v>3</v>
      </c>
      <c r="K903" s="103">
        <f t="shared" si="58"/>
        <v>2</v>
      </c>
      <c r="L903" s="83">
        <f t="shared" si="59"/>
        <v>15</v>
      </c>
    </row>
    <row r="904" spans="1:12" x14ac:dyDescent="0.25">
      <c r="A904" s="105">
        <v>44987.48333333333</v>
      </c>
      <c r="B904" s="107" t="s">
        <v>1561</v>
      </c>
      <c r="C904" s="99" t="s">
        <v>1564</v>
      </c>
      <c r="D904" s="99" t="s">
        <v>1565</v>
      </c>
      <c r="E904" s="93">
        <v>55</v>
      </c>
      <c r="F904" s="94" t="s">
        <v>1544</v>
      </c>
      <c r="G904" s="95" t="s">
        <v>341</v>
      </c>
      <c r="H904" s="94">
        <v>103979658</v>
      </c>
      <c r="I904" s="101">
        <f t="shared" si="56"/>
        <v>44987.48333333333</v>
      </c>
      <c r="J904" s="102">
        <f t="shared" si="57"/>
        <v>3</v>
      </c>
      <c r="K904" s="103">
        <f t="shared" si="58"/>
        <v>2</v>
      </c>
      <c r="L904" s="83">
        <f t="shared" si="59"/>
        <v>11</v>
      </c>
    </row>
    <row r="905" spans="1:12" x14ac:dyDescent="0.25">
      <c r="A905" s="105">
        <v>44987.640277777777</v>
      </c>
      <c r="B905" s="107" t="s">
        <v>1568</v>
      </c>
      <c r="C905" s="99" t="s">
        <v>1548</v>
      </c>
      <c r="D905" s="99" t="s">
        <v>1549</v>
      </c>
      <c r="E905" s="93">
        <v>60.23</v>
      </c>
      <c r="F905" s="94" t="s">
        <v>1543</v>
      </c>
      <c r="G905" s="95" t="s">
        <v>343</v>
      </c>
      <c r="H905" s="94">
        <v>105450008</v>
      </c>
      <c r="I905" s="101">
        <f t="shared" si="56"/>
        <v>44987.640277777777</v>
      </c>
      <c r="J905" s="102">
        <f t="shared" si="57"/>
        <v>3</v>
      </c>
      <c r="K905" s="103">
        <f t="shared" si="58"/>
        <v>2</v>
      </c>
      <c r="L905" s="83">
        <f t="shared" si="59"/>
        <v>15</v>
      </c>
    </row>
    <row r="906" spans="1:12" x14ac:dyDescent="0.25">
      <c r="A906" s="105">
        <v>44987.769444444442</v>
      </c>
      <c r="B906" s="107" t="s">
        <v>1575</v>
      </c>
      <c r="C906" s="99" t="s">
        <v>1550</v>
      </c>
      <c r="D906" s="99" t="s">
        <v>1551</v>
      </c>
      <c r="E906" s="93">
        <v>150</v>
      </c>
      <c r="F906" s="94" t="s">
        <v>1543</v>
      </c>
      <c r="G906" s="95" t="s">
        <v>345</v>
      </c>
      <c r="H906" s="94">
        <v>102313743</v>
      </c>
      <c r="I906" s="101">
        <f t="shared" si="56"/>
        <v>44987.769444444442</v>
      </c>
      <c r="J906" s="102">
        <f t="shared" si="57"/>
        <v>3</v>
      </c>
      <c r="K906" s="103">
        <f t="shared" si="58"/>
        <v>2</v>
      </c>
      <c r="L906" s="83">
        <f t="shared" si="59"/>
        <v>18</v>
      </c>
    </row>
    <row r="907" spans="1:12" x14ac:dyDescent="0.25">
      <c r="A907" s="105">
        <v>44987.433333333334</v>
      </c>
      <c r="B907" s="107" t="s">
        <v>1582</v>
      </c>
      <c r="C907" s="99" t="s">
        <v>1562</v>
      </c>
      <c r="D907" s="99" t="s">
        <v>1563</v>
      </c>
      <c r="E907" s="93">
        <v>190.87</v>
      </c>
      <c r="F907" s="94" t="s">
        <v>1543</v>
      </c>
      <c r="G907" s="95" t="s">
        <v>347</v>
      </c>
      <c r="H907" s="94">
        <v>104919290</v>
      </c>
      <c r="I907" s="101">
        <f t="shared" si="56"/>
        <v>44987.433333333334</v>
      </c>
      <c r="J907" s="102">
        <f t="shared" si="57"/>
        <v>3</v>
      </c>
      <c r="K907" s="103">
        <f t="shared" si="58"/>
        <v>2</v>
      </c>
      <c r="L907" s="83">
        <f t="shared" si="59"/>
        <v>10</v>
      </c>
    </row>
    <row r="908" spans="1:12" x14ac:dyDescent="0.25">
      <c r="A908" s="105">
        <v>44987.598611111112</v>
      </c>
      <c r="B908" s="107" t="s">
        <v>1586</v>
      </c>
      <c r="C908" s="99" t="s">
        <v>1552</v>
      </c>
      <c r="D908" s="99" t="s">
        <v>1553</v>
      </c>
      <c r="E908" s="93">
        <v>42.55</v>
      </c>
      <c r="F908" s="94" t="s">
        <v>1543</v>
      </c>
      <c r="G908" s="95" t="s">
        <v>349</v>
      </c>
      <c r="H908" s="94">
        <v>100150089</v>
      </c>
      <c r="I908" s="101">
        <f t="shared" si="56"/>
        <v>44987.598611111112</v>
      </c>
      <c r="J908" s="102">
        <f t="shared" si="57"/>
        <v>3</v>
      </c>
      <c r="K908" s="103">
        <f t="shared" si="58"/>
        <v>2</v>
      </c>
      <c r="L908" s="83">
        <f t="shared" si="59"/>
        <v>14</v>
      </c>
    </row>
    <row r="909" spans="1:12" x14ac:dyDescent="0.25">
      <c r="A909" s="105">
        <v>44987.544444444444</v>
      </c>
      <c r="B909" s="107" t="s">
        <v>1589</v>
      </c>
      <c r="C909" s="99" t="s">
        <v>1555</v>
      </c>
      <c r="D909" s="99" t="s">
        <v>1556</v>
      </c>
      <c r="E909" s="93">
        <v>98</v>
      </c>
      <c r="F909" s="94" t="s">
        <v>1543</v>
      </c>
      <c r="G909" s="95" t="s">
        <v>352</v>
      </c>
      <c r="H909" s="94">
        <v>104283591</v>
      </c>
      <c r="I909" s="101">
        <f t="shared" si="56"/>
        <v>44987.544444444444</v>
      </c>
      <c r="J909" s="102">
        <f t="shared" si="57"/>
        <v>3</v>
      </c>
      <c r="K909" s="103">
        <f t="shared" si="58"/>
        <v>2</v>
      </c>
      <c r="L909" s="83">
        <f t="shared" si="59"/>
        <v>13</v>
      </c>
    </row>
    <row r="910" spans="1:12" x14ac:dyDescent="0.25">
      <c r="A910" s="105">
        <v>44987.636111111111</v>
      </c>
      <c r="B910" s="107" t="s">
        <v>1590</v>
      </c>
      <c r="C910" s="99" t="s">
        <v>1559</v>
      </c>
      <c r="D910" s="99" t="s">
        <v>1560</v>
      </c>
      <c r="E910" s="93">
        <v>90</v>
      </c>
      <c r="F910" s="94" t="s">
        <v>1544</v>
      </c>
      <c r="G910" s="95" t="s">
        <v>354</v>
      </c>
      <c r="H910" s="94">
        <v>100549311</v>
      </c>
      <c r="I910" s="101">
        <f t="shared" si="56"/>
        <v>44987.636111111111</v>
      </c>
      <c r="J910" s="102">
        <f t="shared" si="57"/>
        <v>3</v>
      </c>
      <c r="K910" s="103">
        <f t="shared" si="58"/>
        <v>2</v>
      </c>
      <c r="L910" s="83">
        <f t="shared" si="59"/>
        <v>15</v>
      </c>
    </row>
    <row r="911" spans="1:12" x14ac:dyDescent="0.25">
      <c r="A911" s="105">
        <v>44987.599305555559</v>
      </c>
      <c r="B911" s="107" t="s">
        <v>1591</v>
      </c>
      <c r="C911" s="99" t="s">
        <v>1548</v>
      </c>
      <c r="D911" s="99" t="s">
        <v>1549</v>
      </c>
      <c r="E911" s="93">
        <v>101</v>
      </c>
      <c r="F911" s="94" t="s">
        <v>1544</v>
      </c>
      <c r="G911" s="95" t="s">
        <v>356</v>
      </c>
      <c r="H911" s="94">
        <v>103639171</v>
      </c>
      <c r="I911" s="101">
        <f t="shared" si="56"/>
        <v>44987.599305555559</v>
      </c>
      <c r="J911" s="102">
        <f t="shared" si="57"/>
        <v>3</v>
      </c>
      <c r="K911" s="103">
        <f t="shared" si="58"/>
        <v>2</v>
      </c>
      <c r="L911" s="83">
        <f t="shared" si="59"/>
        <v>14</v>
      </c>
    </row>
    <row r="912" spans="1:12" x14ac:dyDescent="0.25">
      <c r="A912" s="105">
        <v>44987.572222222225</v>
      </c>
      <c r="B912" s="107" t="s">
        <v>1592</v>
      </c>
      <c r="C912" s="99" t="s">
        <v>1566</v>
      </c>
      <c r="D912" s="99" t="s">
        <v>1567</v>
      </c>
      <c r="E912" s="93">
        <v>20.77</v>
      </c>
      <c r="F912" s="94" t="s">
        <v>1544</v>
      </c>
      <c r="G912" s="95" t="s">
        <v>358</v>
      </c>
      <c r="H912" s="94">
        <v>104965801</v>
      </c>
      <c r="I912" s="101">
        <f t="shared" si="56"/>
        <v>44987.572222222225</v>
      </c>
      <c r="J912" s="102">
        <f t="shared" si="57"/>
        <v>3</v>
      </c>
      <c r="K912" s="103">
        <f t="shared" si="58"/>
        <v>2</v>
      </c>
      <c r="L912" s="83">
        <f t="shared" si="59"/>
        <v>13</v>
      </c>
    </row>
    <row r="913" spans="1:12" x14ac:dyDescent="0.25">
      <c r="A913" s="105">
        <v>44987.481944444444</v>
      </c>
      <c r="B913" s="107" t="s">
        <v>1593</v>
      </c>
      <c r="C913" s="99" t="s">
        <v>1564</v>
      </c>
      <c r="D913" s="99" t="s">
        <v>1565</v>
      </c>
      <c r="E913" s="93">
        <v>40</v>
      </c>
      <c r="F913" s="94" t="s">
        <v>1543</v>
      </c>
      <c r="G913" s="95" t="s">
        <v>360</v>
      </c>
      <c r="H913" s="94">
        <v>104542745</v>
      </c>
      <c r="I913" s="101">
        <f t="shared" si="56"/>
        <v>44987.481944444444</v>
      </c>
      <c r="J913" s="102">
        <f t="shared" si="57"/>
        <v>3</v>
      </c>
      <c r="K913" s="103">
        <f t="shared" si="58"/>
        <v>2</v>
      </c>
      <c r="L913" s="83">
        <f t="shared" si="59"/>
        <v>11</v>
      </c>
    </row>
    <row r="914" spans="1:12" x14ac:dyDescent="0.25">
      <c r="A914" s="105">
        <v>44987.442361111112</v>
      </c>
      <c r="B914" s="107" t="s">
        <v>1594</v>
      </c>
      <c r="C914" s="99" t="s">
        <v>1548</v>
      </c>
      <c r="D914" s="99" t="s">
        <v>1549</v>
      </c>
      <c r="E914" s="93">
        <v>219.62</v>
      </c>
      <c r="F914" s="94" t="s">
        <v>1543</v>
      </c>
      <c r="G914" s="95" t="s">
        <v>362</v>
      </c>
      <c r="H914" s="94">
        <v>103898941</v>
      </c>
      <c r="I914" s="101">
        <f t="shared" si="56"/>
        <v>44987.442361111112</v>
      </c>
      <c r="J914" s="102">
        <f t="shared" si="57"/>
        <v>3</v>
      </c>
      <c r="K914" s="103">
        <f t="shared" si="58"/>
        <v>2</v>
      </c>
      <c r="L914" s="83">
        <f t="shared" si="59"/>
        <v>10</v>
      </c>
    </row>
    <row r="915" spans="1:12" x14ac:dyDescent="0.25">
      <c r="A915" s="105">
        <v>44987.5625</v>
      </c>
      <c r="B915" s="107" t="s">
        <v>1595</v>
      </c>
      <c r="C915" s="99" t="s">
        <v>1550</v>
      </c>
      <c r="D915" s="99" t="s">
        <v>1551</v>
      </c>
      <c r="E915" s="93">
        <v>186</v>
      </c>
      <c r="F915" s="94" t="s">
        <v>1543</v>
      </c>
      <c r="G915" s="95" t="s">
        <v>364</v>
      </c>
      <c r="H915" s="94">
        <v>104685953</v>
      </c>
      <c r="I915" s="101">
        <f t="shared" si="56"/>
        <v>44987.5625</v>
      </c>
      <c r="J915" s="102">
        <f t="shared" si="57"/>
        <v>3</v>
      </c>
      <c r="K915" s="103">
        <f t="shared" si="58"/>
        <v>2</v>
      </c>
      <c r="L915" s="83">
        <f t="shared" si="59"/>
        <v>13</v>
      </c>
    </row>
    <row r="916" spans="1:12" x14ac:dyDescent="0.25">
      <c r="A916" s="105">
        <v>44987.579861111109</v>
      </c>
      <c r="B916" s="107" t="s">
        <v>1597</v>
      </c>
      <c r="C916" s="99" t="s">
        <v>1557</v>
      </c>
      <c r="D916" s="99" t="s">
        <v>1558</v>
      </c>
      <c r="E916" s="93">
        <v>53.27</v>
      </c>
      <c r="F916" s="94" t="s">
        <v>1543</v>
      </c>
      <c r="G916" s="95" t="s">
        <v>366</v>
      </c>
      <c r="H916" s="94">
        <v>105375398</v>
      </c>
      <c r="I916" s="101">
        <f t="shared" si="56"/>
        <v>44987.579861111109</v>
      </c>
      <c r="J916" s="102">
        <f t="shared" si="57"/>
        <v>3</v>
      </c>
      <c r="K916" s="103">
        <f t="shared" si="58"/>
        <v>2</v>
      </c>
      <c r="L916" s="83">
        <f t="shared" si="59"/>
        <v>13</v>
      </c>
    </row>
    <row r="917" spans="1:12" x14ac:dyDescent="0.25">
      <c r="A917" s="105">
        <v>44987.590277777781</v>
      </c>
      <c r="B917" s="107" t="s">
        <v>1547</v>
      </c>
      <c r="C917" s="99" t="s">
        <v>1562</v>
      </c>
      <c r="D917" s="99" t="s">
        <v>1563</v>
      </c>
      <c r="E917" s="93">
        <v>50.95</v>
      </c>
      <c r="F917" s="94" t="s">
        <v>1543</v>
      </c>
      <c r="G917" s="95" t="s">
        <v>368</v>
      </c>
      <c r="H917" s="94">
        <v>100408772</v>
      </c>
      <c r="I917" s="101">
        <f t="shared" si="56"/>
        <v>44987.590277777781</v>
      </c>
      <c r="J917" s="102">
        <f t="shared" si="57"/>
        <v>3</v>
      </c>
      <c r="K917" s="103">
        <f t="shared" si="58"/>
        <v>2</v>
      </c>
      <c r="L917" s="83">
        <f t="shared" si="59"/>
        <v>14</v>
      </c>
    </row>
    <row r="918" spans="1:12" x14ac:dyDescent="0.25">
      <c r="A918" s="105">
        <v>44987.629861111112</v>
      </c>
      <c r="B918" s="107" t="s">
        <v>1554</v>
      </c>
      <c r="C918" s="99" t="s">
        <v>1576</v>
      </c>
      <c r="D918" s="99" t="s">
        <v>1577</v>
      </c>
      <c r="E918" s="93">
        <v>12.14</v>
      </c>
      <c r="F918" s="94" t="s">
        <v>1543</v>
      </c>
      <c r="G918" s="95" t="s">
        <v>370</v>
      </c>
      <c r="H918" s="94">
        <v>104167177</v>
      </c>
      <c r="I918" s="101">
        <f t="shared" si="56"/>
        <v>44987.629861111112</v>
      </c>
      <c r="J918" s="102">
        <f t="shared" si="57"/>
        <v>3</v>
      </c>
      <c r="K918" s="103">
        <f t="shared" si="58"/>
        <v>2</v>
      </c>
      <c r="L918" s="83">
        <f t="shared" si="59"/>
        <v>15</v>
      </c>
    </row>
    <row r="919" spans="1:12" x14ac:dyDescent="0.25">
      <c r="A919" s="105">
        <v>44987.664583333331</v>
      </c>
      <c r="B919" s="107" t="s">
        <v>1561</v>
      </c>
      <c r="C919" s="99" t="s">
        <v>1569</v>
      </c>
      <c r="D919" s="99" t="s">
        <v>1570</v>
      </c>
      <c r="E919" s="93">
        <v>227.72</v>
      </c>
      <c r="F919" s="94" t="s">
        <v>1543</v>
      </c>
      <c r="G919" s="95" t="s">
        <v>372</v>
      </c>
      <c r="H919" s="94">
        <v>101070399</v>
      </c>
      <c r="I919" s="101">
        <f t="shared" si="56"/>
        <v>44987.664583333331</v>
      </c>
      <c r="J919" s="102">
        <f t="shared" si="57"/>
        <v>3</v>
      </c>
      <c r="K919" s="103">
        <f t="shared" si="58"/>
        <v>2</v>
      </c>
      <c r="L919" s="83">
        <f t="shared" si="59"/>
        <v>15</v>
      </c>
    </row>
    <row r="920" spans="1:12" x14ac:dyDescent="0.25">
      <c r="A920" s="105">
        <v>44987.705555555556</v>
      </c>
      <c r="B920" s="107" t="s">
        <v>1568</v>
      </c>
      <c r="C920" s="99" t="s">
        <v>1548</v>
      </c>
      <c r="D920" s="99" t="s">
        <v>1549</v>
      </c>
      <c r="E920" s="93">
        <v>268</v>
      </c>
      <c r="F920" s="94" t="s">
        <v>1543</v>
      </c>
      <c r="G920" s="95" t="s">
        <v>374</v>
      </c>
      <c r="H920" s="94">
        <v>102514481</v>
      </c>
      <c r="I920" s="101">
        <f t="shared" si="56"/>
        <v>44987.705555555556</v>
      </c>
      <c r="J920" s="102">
        <f t="shared" si="57"/>
        <v>3</v>
      </c>
      <c r="K920" s="103">
        <f t="shared" si="58"/>
        <v>2</v>
      </c>
      <c r="L920" s="83">
        <f t="shared" si="59"/>
        <v>16</v>
      </c>
    </row>
    <row r="921" spans="1:12" x14ac:dyDescent="0.25">
      <c r="A921" s="105">
        <v>44987.722916666666</v>
      </c>
      <c r="B921" s="107" t="s">
        <v>1575</v>
      </c>
      <c r="C921" s="99" t="s">
        <v>1559</v>
      </c>
      <c r="D921" s="99" t="s">
        <v>1560</v>
      </c>
      <c r="E921" s="93">
        <v>120.22</v>
      </c>
      <c r="F921" s="94" t="s">
        <v>1543</v>
      </c>
      <c r="G921" s="95" t="s">
        <v>376</v>
      </c>
      <c r="H921" s="94">
        <v>105706125</v>
      </c>
      <c r="I921" s="101">
        <f t="shared" si="56"/>
        <v>44987.722916666666</v>
      </c>
      <c r="J921" s="102">
        <f t="shared" si="57"/>
        <v>3</v>
      </c>
      <c r="K921" s="103">
        <f t="shared" si="58"/>
        <v>2</v>
      </c>
      <c r="L921" s="83">
        <f t="shared" si="59"/>
        <v>17</v>
      </c>
    </row>
    <row r="922" spans="1:12" x14ac:dyDescent="0.25">
      <c r="A922" s="105">
        <v>44987.756249999999</v>
      </c>
      <c r="B922" s="107" t="s">
        <v>1582</v>
      </c>
      <c r="C922" s="99" t="s">
        <v>1571</v>
      </c>
      <c r="D922" s="99" t="s">
        <v>1572</v>
      </c>
      <c r="E922" s="93">
        <v>40</v>
      </c>
      <c r="F922" s="94" t="s">
        <v>1544</v>
      </c>
      <c r="G922" s="95" t="s">
        <v>378</v>
      </c>
      <c r="H922" s="94">
        <v>104607327</v>
      </c>
      <c r="I922" s="101">
        <f t="shared" si="56"/>
        <v>44987.756249999999</v>
      </c>
      <c r="J922" s="102">
        <f t="shared" si="57"/>
        <v>3</v>
      </c>
      <c r="K922" s="103">
        <f t="shared" si="58"/>
        <v>2</v>
      </c>
      <c r="L922" s="83">
        <f t="shared" si="59"/>
        <v>18</v>
      </c>
    </row>
    <row r="923" spans="1:12" x14ac:dyDescent="0.25">
      <c r="A923" s="105">
        <v>44987.615972222222</v>
      </c>
      <c r="B923" s="107" t="s">
        <v>1586</v>
      </c>
      <c r="C923" s="99" t="s">
        <v>1550</v>
      </c>
      <c r="D923" s="99" t="s">
        <v>1551</v>
      </c>
      <c r="E923" s="93">
        <v>77</v>
      </c>
      <c r="F923" s="94" t="s">
        <v>1543</v>
      </c>
      <c r="G923" s="95" t="s">
        <v>381</v>
      </c>
      <c r="H923" s="94">
        <v>103954841</v>
      </c>
      <c r="I923" s="101">
        <f t="shared" si="56"/>
        <v>44987.615972222222</v>
      </c>
      <c r="J923" s="102">
        <f t="shared" si="57"/>
        <v>3</v>
      </c>
      <c r="K923" s="103">
        <f t="shared" si="58"/>
        <v>2</v>
      </c>
      <c r="L923" s="83">
        <f t="shared" si="59"/>
        <v>14</v>
      </c>
    </row>
    <row r="924" spans="1:12" x14ac:dyDescent="0.25">
      <c r="A924" s="105">
        <v>44987.532638888886</v>
      </c>
      <c r="B924" s="107" t="s">
        <v>1589</v>
      </c>
      <c r="C924" s="99" t="s">
        <v>1557</v>
      </c>
      <c r="D924" s="99" t="s">
        <v>1558</v>
      </c>
      <c r="E924" s="93">
        <v>37.49</v>
      </c>
      <c r="F924" s="94" t="s">
        <v>1543</v>
      </c>
      <c r="G924" s="95" t="s">
        <v>383</v>
      </c>
      <c r="H924" s="94">
        <v>105690653</v>
      </c>
      <c r="I924" s="101">
        <f t="shared" si="56"/>
        <v>44987.532638888886</v>
      </c>
      <c r="J924" s="102">
        <f t="shared" si="57"/>
        <v>3</v>
      </c>
      <c r="K924" s="103">
        <f t="shared" si="58"/>
        <v>2</v>
      </c>
      <c r="L924" s="83">
        <f t="shared" si="59"/>
        <v>12</v>
      </c>
    </row>
    <row r="925" spans="1:12" x14ac:dyDescent="0.25">
      <c r="A925" s="105">
        <v>44987.73333333333</v>
      </c>
      <c r="B925" s="107" t="s">
        <v>1590</v>
      </c>
      <c r="C925" s="99" t="s">
        <v>1555</v>
      </c>
      <c r="D925" s="99" t="s">
        <v>1556</v>
      </c>
      <c r="E925" s="93">
        <v>85.39</v>
      </c>
      <c r="F925" s="94" t="s">
        <v>1543</v>
      </c>
      <c r="G925" s="95" t="s">
        <v>385</v>
      </c>
      <c r="H925" s="94">
        <v>105591648</v>
      </c>
      <c r="I925" s="101">
        <f t="shared" si="56"/>
        <v>44987.73333333333</v>
      </c>
      <c r="J925" s="102">
        <f t="shared" si="57"/>
        <v>3</v>
      </c>
      <c r="K925" s="103">
        <f t="shared" si="58"/>
        <v>2</v>
      </c>
      <c r="L925" s="83">
        <f t="shared" si="59"/>
        <v>17</v>
      </c>
    </row>
    <row r="926" spans="1:12" x14ac:dyDescent="0.25">
      <c r="A926" s="105">
        <v>44987.431944444441</v>
      </c>
      <c r="B926" s="107" t="s">
        <v>1591</v>
      </c>
      <c r="C926" s="99" t="s">
        <v>1548</v>
      </c>
      <c r="D926" s="99" t="s">
        <v>1549</v>
      </c>
      <c r="E926" s="93">
        <v>82.14</v>
      </c>
      <c r="F926" s="94" t="s">
        <v>1543</v>
      </c>
      <c r="G926" s="95" t="s">
        <v>387</v>
      </c>
      <c r="H926" s="94">
        <v>105516579</v>
      </c>
      <c r="I926" s="101">
        <f t="shared" si="56"/>
        <v>44987.431944444441</v>
      </c>
      <c r="J926" s="102">
        <f t="shared" si="57"/>
        <v>3</v>
      </c>
      <c r="K926" s="103">
        <f t="shared" si="58"/>
        <v>2</v>
      </c>
      <c r="L926" s="83">
        <f t="shared" si="59"/>
        <v>10</v>
      </c>
    </row>
    <row r="927" spans="1:12" x14ac:dyDescent="0.25">
      <c r="A927" s="105">
        <v>44987.526388888888</v>
      </c>
      <c r="B927" s="107" t="s">
        <v>1592</v>
      </c>
      <c r="C927" s="99" t="s">
        <v>1550</v>
      </c>
      <c r="D927" s="99" t="s">
        <v>1551</v>
      </c>
      <c r="E927" s="93">
        <v>60</v>
      </c>
      <c r="F927" s="94" t="s">
        <v>1543</v>
      </c>
      <c r="G927" s="95" t="s">
        <v>389</v>
      </c>
      <c r="H927" s="94">
        <v>105446523</v>
      </c>
      <c r="I927" s="101">
        <f t="shared" si="56"/>
        <v>44987.526388888888</v>
      </c>
      <c r="J927" s="102">
        <f t="shared" si="57"/>
        <v>3</v>
      </c>
      <c r="K927" s="103">
        <f t="shared" si="58"/>
        <v>2</v>
      </c>
      <c r="L927" s="83">
        <f t="shared" si="59"/>
        <v>12</v>
      </c>
    </row>
    <row r="928" spans="1:12" x14ac:dyDescent="0.25">
      <c r="A928" s="105">
        <v>44987.627083333333</v>
      </c>
      <c r="B928" s="107" t="s">
        <v>1593</v>
      </c>
      <c r="C928" s="99" t="s">
        <v>1552</v>
      </c>
      <c r="D928" s="99" t="s">
        <v>1553</v>
      </c>
      <c r="E928" s="93">
        <v>81</v>
      </c>
      <c r="F928" s="94" t="s">
        <v>1543</v>
      </c>
      <c r="G928" s="95" t="s">
        <v>391</v>
      </c>
      <c r="H928" s="94">
        <v>104883289</v>
      </c>
      <c r="I928" s="101">
        <f t="shared" si="56"/>
        <v>44987.627083333333</v>
      </c>
      <c r="J928" s="102">
        <f t="shared" si="57"/>
        <v>3</v>
      </c>
      <c r="K928" s="103">
        <f t="shared" si="58"/>
        <v>2</v>
      </c>
      <c r="L928" s="83">
        <f t="shared" si="59"/>
        <v>15</v>
      </c>
    </row>
    <row r="929" spans="1:12" x14ac:dyDescent="0.25">
      <c r="A929" s="105">
        <v>44987.722222222219</v>
      </c>
      <c r="B929" s="107" t="s">
        <v>1594</v>
      </c>
      <c r="C929" s="99" t="s">
        <v>1555</v>
      </c>
      <c r="D929" s="99" t="s">
        <v>1556</v>
      </c>
      <c r="E929" s="93">
        <v>42</v>
      </c>
      <c r="F929" s="94" t="s">
        <v>1543</v>
      </c>
      <c r="G929" s="95" t="s">
        <v>393</v>
      </c>
      <c r="H929" s="94">
        <v>104128299</v>
      </c>
      <c r="I929" s="101">
        <f t="shared" si="56"/>
        <v>44987.722222222219</v>
      </c>
      <c r="J929" s="102">
        <f t="shared" si="57"/>
        <v>3</v>
      </c>
      <c r="K929" s="103">
        <f t="shared" si="58"/>
        <v>2</v>
      </c>
      <c r="L929" s="83">
        <f t="shared" si="59"/>
        <v>17</v>
      </c>
    </row>
    <row r="930" spans="1:12" x14ac:dyDescent="0.25">
      <c r="A930" s="105">
        <v>44987.736111111109</v>
      </c>
      <c r="B930" s="107" t="s">
        <v>1595</v>
      </c>
      <c r="C930" s="99" t="s">
        <v>1557</v>
      </c>
      <c r="D930" s="99" t="s">
        <v>1558</v>
      </c>
      <c r="E930" s="93">
        <v>100.75</v>
      </c>
      <c r="F930" s="94" t="s">
        <v>1543</v>
      </c>
      <c r="G930" s="95" t="s">
        <v>395</v>
      </c>
      <c r="H930" s="94">
        <v>104228025</v>
      </c>
      <c r="I930" s="101">
        <f t="shared" si="56"/>
        <v>44987.736111111109</v>
      </c>
      <c r="J930" s="102">
        <f t="shared" si="57"/>
        <v>3</v>
      </c>
      <c r="K930" s="103">
        <f t="shared" si="58"/>
        <v>2</v>
      </c>
      <c r="L930" s="83">
        <f t="shared" si="59"/>
        <v>17</v>
      </c>
    </row>
    <row r="931" spans="1:12" x14ac:dyDescent="0.25">
      <c r="A931" s="105">
        <v>44987.755555555559</v>
      </c>
      <c r="B931" s="107" t="s">
        <v>1597</v>
      </c>
      <c r="C931" s="99" t="s">
        <v>1559</v>
      </c>
      <c r="D931" s="99" t="s">
        <v>1560</v>
      </c>
      <c r="E931" s="93">
        <v>100</v>
      </c>
      <c r="F931" s="94" t="s">
        <v>1544</v>
      </c>
      <c r="G931" s="95" t="s">
        <v>397</v>
      </c>
      <c r="H931" s="94">
        <v>104607327</v>
      </c>
      <c r="I931" s="101">
        <f t="shared" si="56"/>
        <v>44987.755555555559</v>
      </c>
      <c r="J931" s="102">
        <f t="shared" si="57"/>
        <v>3</v>
      </c>
      <c r="K931" s="103">
        <f t="shared" si="58"/>
        <v>2</v>
      </c>
      <c r="L931" s="83">
        <f t="shared" si="59"/>
        <v>18</v>
      </c>
    </row>
    <row r="932" spans="1:12" x14ac:dyDescent="0.25">
      <c r="A932" s="105">
        <v>44987.660416666666</v>
      </c>
      <c r="B932" s="107" t="s">
        <v>1547</v>
      </c>
      <c r="C932" s="99" t="s">
        <v>1562</v>
      </c>
      <c r="D932" s="99" t="s">
        <v>1563</v>
      </c>
      <c r="E932" s="93">
        <v>82.21</v>
      </c>
      <c r="F932" s="94" t="s">
        <v>1543</v>
      </c>
      <c r="G932" s="95" t="s">
        <v>399</v>
      </c>
      <c r="H932" s="94">
        <v>104995820</v>
      </c>
      <c r="I932" s="101">
        <f t="shared" si="56"/>
        <v>44987.660416666666</v>
      </c>
      <c r="J932" s="102">
        <f t="shared" si="57"/>
        <v>3</v>
      </c>
      <c r="K932" s="103">
        <f t="shared" si="58"/>
        <v>2</v>
      </c>
      <c r="L932" s="83">
        <f t="shared" si="59"/>
        <v>15</v>
      </c>
    </row>
    <row r="933" spans="1:12" x14ac:dyDescent="0.25">
      <c r="A933" s="105">
        <v>44987.688888888886</v>
      </c>
      <c r="B933" s="107" t="s">
        <v>1554</v>
      </c>
      <c r="C933" s="99" t="s">
        <v>1564</v>
      </c>
      <c r="D933" s="99" t="s">
        <v>1565</v>
      </c>
      <c r="E933" s="93">
        <v>105.18</v>
      </c>
      <c r="F933" s="94" t="s">
        <v>1543</v>
      </c>
      <c r="G933" s="95" t="s">
        <v>401</v>
      </c>
      <c r="H933" s="94">
        <v>103606272</v>
      </c>
      <c r="I933" s="101">
        <f t="shared" si="56"/>
        <v>44987.688888888886</v>
      </c>
      <c r="J933" s="102">
        <f t="shared" si="57"/>
        <v>3</v>
      </c>
      <c r="K933" s="103">
        <f t="shared" si="58"/>
        <v>2</v>
      </c>
      <c r="L933" s="83">
        <f t="shared" si="59"/>
        <v>16</v>
      </c>
    </row>
    <row r="934" spans="1:12" x14ac:dyDescent="0.25">
      <c r="A934" s="105">
        <v>44987.611111111109</v>
      </c>
      <c r="B934" s="107" t="s">
        <v>1561</v>
      </c>
      <c r="C934" s="99" t="s">
        <v>1566</v>
      </c>
      <c r="D934" s="99" t="s">
        <v>1567</v>
      </c>
      <c r="E934" s="93">
        <v>147</v>
      </c>
      <c r="F934" s="94" t="s">
        <v>1543</v>
      </c>
      <c r="G934" s="95" t="s">
        <v>406</v>
      </c>
      <c r="H934" s="94">
        <v>105236970</v>
      </c>
      <c r="I934" s="101">
        <f t="shared" si="56"/>
        <v>44987.611111111109</v>
      </c>
      <c r="J934" s="102">
        <f t="shared" si="57"/>
        <v>3</v>
      </c>
      <c r="K934" s="103">
        <f t="shared" si="58"/>
        <v>2</v>
      </c>
      <c r="L934" s="83">
        <f t="shared" si="59"/>
        <v>14</v>
      </c>
    </row>
    <row r="935" spans="1:12" x14ac:dyDescent="0.25">
      <c r="A935" s="105">
        <v>44987.431944444441</v>
      </c>
      <c r="B935" s="107" t="s">
        <v>1568</v>
      </c>
      <c r="C935" s="99" t="s">
        <v>1569</v>
      </c>
      <c r="D935" s="99" t="s">
        <v>1570</v>
      </c>
      <c r="E935" s="93">
        <v>59.59</v>
      </c>
      <c r="F935" s="94" t="s">
        <v>1544</v>
      </c>
      <c r="G935" s="95" t="s">
        <v>408</v>
      </c>
      <c r="H935" s="94">
        <v>104803982</v>
      </c>
      <c r="I935" s="101">
        <f t="shared" si="56"/>
        <v>44987.431944444441</v>
      </c>
      <c r="J935" s="102">
        <f t="shared" si="57"/>
        <v>3</v>
      </c>
      <c r="K935" s="103">
        <f t="shared" si="58"/>
        <v>2</v>
      </c>
      <c r="L935" s="83">
        <f t="shared" si="59"/>
        <v>10</v>
      </c>
    </row>
    <row r="936" spans="1:12" x14ac:dyDescent="0.25">
      <c r="A936" s="105">
        <v>44987.484027777777</v>
      </c>
      <c r="B936" s="107" t="s">
        <v>1575</v>
      </c>
      <c r="C936" s="99" t="s">
        <v>1571</v>
      </c>
      <c r="D936" s="99" t="s">
        <v>1572</v>
      </c>
      <c r="E936" s="93">
        <v>314.49</v>
      </c>
      <c r="F936" s="94" t="s">
        <v>1543</v>
      </c>
      <c r="G936" s="95" t="s">
        <v>410</v>
      </c>
      <c r="H936" s="94">
        <v>102852375</v>
      </c>
      <c r="I936" s="101">
        <f t="shared" si="56"/>
        <v>44987.484027777777</v>
      </c>
      <c r="J936" s="102">
        <f t="shared" si="57"/>
        <v>3</v>
      </c>
      <c r="K936" s="103">
        <f t="shared" si="58"/>
        <v>2</v>
      </c>
      <c r="L936" s="83">
        <f t="shared" si="59"/>
        <v>11</v>
      </c>
    </row>
    <row r="937" spans="1:12" x14ac:dyDescent="0.25">
      <c r="A937" s="105">
        <v>44987.443749999999</v>
      </c>
      <c r="B937" s="107" t="s">
        <v>1582</v>
      </c>
      <c r="C937" s="99" t="s">
        <v>1573</v>
      </c>
      <c r="D937" s="99" t="s">
        <v>1574</v>
      </c>
      <c r="E937" s="93">
        <v>26.27</v>
      </c>
      <c r="F937" s="94" t="s">
        <v>1543</v>
      </c>
      <c r="G937" s="95" t="s">
        <v>412</v>
      </c>
      <c r="H937" s="94">
        <v>105585542</v>
      </c>
      <c r="I937" s="101">
        <f t="shared" si="56"/>
        <v>44987.443749999999</v>
      </c>
      <c r="J937" s="102">
        <f t="shared" si="57"/>
        <v>3</v>
      </c>
      <c r="K937" s="103">
        <f t="shared" si="58"/>
        <v>2</v>
      </c>
      <c r="L937" s="83">
        <f t="shared" si="59"/>
        <v>10</v>
      </c>
    </row>
    <row r="938" spans="1:12" x14ac:dyDescent="0.25">
      <c r="A938" s="105">
        <v>44987.719444444447</v>
      </c>
      <c r="B938" s="107" t="s">
        <v>1586</v>
      </c>
      <c r="C938" s="99" t="s">
        <v>1576</v>
      </c>
      <c r="D938" s="99" t="s">
        <v>1577</v>
      </c>
      <c r="E938" s="93">
        <v>20</v>
      </c>
      <c r="F938" s="94" t="s">
        <v>1543</v>
      </c>
      <c r="G938" s="95" t="s">
        <v>414</v>
      </c>
      <c r="H938" s="94">
        <v>103876210</v>
      </c>
      <c r="I938" s="101">
        <f t="shared" si="56"/>
        <v>44987.719444444447</v>
      </c>
      <c r="J938" s="102">
        <f t="shared" si="57"/>
        <v>3</v>
      </c>
      <c r="K938" s="103">
        <f t="shared" si="58"/>
        <v>2</v>
      </c>
      <c r="L938" s="83">
        <f t="shared" si="59"/>
        <v>17</v>
      </c>
    </row>
    <row r="939" spans="1:12" x14ac:dyDescent="0.25">
      <c r="A939" s="105">
        <v>44987.586805555555</v>
      </c>
      <c r="B939" s="107" t="s">
        <v>1589</v>
      </c>
      <c r="C939" s="99" t="s">
        <v>1578</v>
      </c>
      <c r="D939" s="99" t="s">
        <v>1579</v>
      </c>
      <c r="E939" s="93">
        <v>93.23</v>
      </c>
      <c r="F939" s="94" t="s">
        <v>1543</v>
      </c>
      <c r="G939" s="95" t="s">
        <v>416</v>
      </c>
      <c r="H939" s="94">
        <v>105530244</v>
      </c>
      <c r="I939" s="101">
        <f t="shared" si="56"/>
        <v>44987.586805555555</v>
      </c>
      <c r="J939" s="102">
        <f t="shared" si="57"/>
        <v>3</v>
      </c>
      <c r="K939" s="103">
        <f t="shared" si="58"/>
        <v>2</v>
      </c>
      <c r="L939" s="83">
        <f t="shared" si="59"/>
        <v>14</v>
      </c>
    </row>
    <row r="940" spans="1:12" x14ac:dyDescent="0.25">
      <c r="A940" s="105">
        <v>44987.492361111108</v>
      </c>
      <c r="B940" s="107" t="s">
        <v>1590</v>
      </c>
      <c r="C940" s="99" t="s">
        <v>1580</v>
      </c>
      <c r="D940" s="99" t="s">
        <v>1581</v>
      </c>
      <c r="E940" s="93">
        <v>100</v>
      </c>
      <c r="F940" s="94" t="s">
        <v>1543</v>
      </c>
      <c r="G940" s="95" t="s">
        <v>418</v>
      </c>
      <c r="H940" s="94">
        <v>104977772</v>
      </c>
      <c r="I940" s="101">
        <f t="shared" si="56"/>
        <v>44987.492361111108</v>
      </c>
      <c r="J940" s="102">
        <f t="shared" si="57"/>
        <v>3</v>
      </c>
      <c r="K940" s="103">
        <f t="shared" si="58"/>
        <v>2</v>
      </c>
      <c r="L940" s="83">
        <f t="shared" si="59"/>
        <v>11</v>
      </c>
    </row>
    <row r="941" spans="1:12" x14ac:dyDescent="0.25">
      <c r="A941" s="105">
        <v>44987.447916666664</v>
      </c>
      <c r="B941" s="107" t="s">
        <v>1591</v>
      </c>
      <c r="C941" s="99" t="s">
        <v>1548</v>
      </c>
      <c r="D941" s="99" t="s">
        <v>1549</v>
      </c>
      <c r="E941" s="93">
        <v>124.83</v>
      </c>
      <c r="F941" s="94" t="s">
        <v>1543</v>
      </c>
      <c r="G941" s="95" t="s">
        <v>420</v>
      </c>
      <c r="H941" s="94">
        <v>104101495</v>
      </c>
      <c r="I941" s="101">
        <f t="shared" si="56"/>
        <v>44987.447916666664</v>
      </c>
      <c r="J941" s="102">
        <f t="shared" si="57"/>
        <v>3</v>
      </c>
      <c r="K941" s="103">
        <f t="shared" si="58"/>
        <v>2</v>
      </c>
      <c r="L941" s="83">
        <f t="shared" si="59"/>
        <v>10</v>
      </c>
    </row>
    <row r="942" spans="1:12" x14ac:dyDescent="0.25">
      <c r="A942" s="105">
        <v>44987.688194444447</v>
      </c>
      <c r="B942" s="107" t="s">
        <v>1592</v>
      </c>
      <c r="C942" s="99" t="s">
        <v>1583</v>
      </c>
      <c r="D942" s="99" t="s">
        <v>1574</v>
      </c>
      <c r="E942" s="93">
        <v>57.45</v>
      </c>
      <c r="F942" s="94" t="s">
        <v>1543</v>
      </c>
      <c r="G942" s="95" t="s">
        <v>422</v>
      </c>
      <c r="H942" s="94">
        <v>105246308</v>
      </c>
      <c r="I942" s="101">
        <f t="shared" si="56"/>
        <v>44987.688194444447</v>
      </c>
      <c r="J942" s="102">
        <f t="shared" si="57"/>
        <v>3</v>
      </c>
      <c r="K942" s="103">
        <f t="shared" si="58"/>
        <v>2</v>
      </c>
      <c r="L942" s="83">
        <f t="shared" si="59"/>
        <v>16</v>
      </c>
    </row>
    <row r="943" spans="1:12" x14ac:dyDescent="0.25">
      <c r="A943" s="105">
        <v>44987.731249999997</v>
      </c>
      <c r="B943" s="107" t="s">
        <v>1593</v>
      </c>
      <c r="C943" s="99" t="s">
        <v>1584</v>
      </c>
      <c r="D943" s="99" t="s">
        <v>1585</v>
      </c>
      <c r="E943" s="93">
        <v>69.930000000000007</v>
      </c>
      <c r="F943" s="94" t="s">
        <v>1543</v>
      </c>
      <c r="G943" s="95" t="s">
        <v>424</v>
      </c>
      <c r="H943" s="94">
        <v>102711984</v>
      </c>
      <c r="I943" s="101">
        <f t="shared" si="56"/>
        <v>44987.731249999997</v>
      </c>
      <c r="J943" s="102">
        <f t="shared" si="57"/>
        <v>3</v>
      </c>
      <c r="K943" s="103">
        <f t="shared" si="58"/>
        <v>2</v>
      </c>
      <c r="L943" s="83">
        <f t="shared" si="59"/>
        <v>17</v>
      </c>
    </row>
    <row r="944" spans="1:12" x14ac:dyDescent="0.25">
      <c r="A944" s="105">
        <v>44987.755555555559</v>
      </c>
      <c r="B944" s="107" t="s">
        <v>1594</v>
      </c>
      <c r="C944" s="99" t="s">
        <v>1557</v>
      </c>
      <c r="D944" s="99" t="s">
        <v>1558</v>
      </c>
      <c r="E944" s="93">
        <v>230.17</v>
      </c>
      <c r="F944" s="94" t="s">
        <v>1543</v>
      </c>
      <c r="G944" s="95" t="s">
        <v>426</v>
      </c>
      <c r="H944" s="94">
        <v>105330239</v>
      </c>
      <c r="I944" s="101">
        <f t="shared" si="56"/>
        <v>44987.755555555559</v>
      </c>
      <c r="J944" s="102">
        <f t="shared" si="57"/>
        <v>3</v>
      </c>
      <c r="K944" s="103">
        <f t="shared" si="58"/>
        <v>2</v>
      </c>
      <c r="L944" s="83">
        <f t="shared" si="59"/>
        <v>18</v>
      </c>
    </row>
    <row r="945" spans="1:12" x14ac:dyDescent="0.25">
      <c r="A945" s="105">
        <v>44987.425000000003</v>
      </c>
      <c r="B945" s="107" t="s">
        <v>1595</v>
      </c>
      <c r="C945" s="99" t="s">
        <v>1587</v>
      </c>
      <c r="D945" s="99" t="s">
        <v>1588</v>
      </c>
      <c r="E945" s="93">
        <v>44</v>
      </c>
      <c r="F945" s="94" t="s">
        <v>1543</v>
      </c>
      <c r="G945" s="95" t="s">
        <v>428</v>
      </c>
      <c r="H945" s="94">
        <v>105154341</v>
      </c>
      <c r="I945" s="101">
        <f t="shared" si="56"/>
        <v>44987.425000000003</v>
      </c>
      <c r="J945" s="102">
        <f t="shared" si="57"/>
        <v>3</v>
      </c>
      <c r="K945" s="103">
        <f t="shared" si="58"/>
        <v>2</v>
      </c>
      <c r="L945" s="83">
        <f t="shared" si="59"/>
        <v>10</v>
      </c>
    </row>
    <row r="946" spans="1:12" x14ac:dyDescent="0.25">
      <c r="A946" s="105">
        <v>44987.447222222225</v>
      </c>
      <c r="B946" s="107" t="s">
        <v>1597</v>
      </c>
      <c r="C946" s="99" t="s">
        <v>1564</v>
      </c>
      <c r="D946" s="99" t="s">
        <v>1565</v>
      </c>
      <c r="E946" s="93">
        <v>25.23</v>
      </c>
      <c r="F946" s="94" t="s">
        <v>1543</v>
      </c>
      <c r="G946" s="95" t="s">
        <v>430</v>
      </c>
      <c r="H946" s="94">
        <v>103174294</v>
      </c>
      <c r="I946" s="101">
        <f t="shared" si="56"/>
        <v>44987.447222222225</v>
      </c>
      <c r="J946" s="102">
        <f t="shared" si="57"/>
        <v>3</v>
      </c>
      <c r="K946" s="103">
        <f t="shared" si="58"/>
        <v>2</v>
      </c>
      <c r="L946" s="83">
        <f t="shared" si="59"/>
        <v>10</v>
      </c>
    </row>
    <row r="947" spans="1:12" x14ac:dyDescent="0.25">
      <c r="A947" s="105">
        <v>44987.431944444441</v>
      </c>
      <c r="B947" s="107" t="s">
        <v>1547</v>
      </c>
      <c r="C947" s="99" t="s">
        <v>1548</v>
      </c>
      <c r="D947" s="99" t="s">
        <v>1549</v>
      </c>
      <c r="E947" s="93">
        <v>100.47</v>
      </c>
      <c r="F947" s="94" t="s">
        <v>1543</v>
      </c>
      <c r="G947" s="95" t="s">
        <v>433</v>
      </c>
      <c r="H947" s="94">
        <v>105589451</v>
      </c>
      <c r="I947" s="101">
        <f t="shared" si="56"/>
        <v>44987.431944444441</v>
      </c>
      <c r="J947" s="102">
        <f t="shared" si="57"/>
        <v>3</v>
      </c>
      <c r="K947" s="103">
        <f t="shared" si="58"/>
        <v>2</v>
      </c>
      <c r="L947" s="83">
        <f t="shared" si="59"/>
        <v>10</v>
      </c>
    </row>
    <row r="948" spans="1:12" x14ac:dyDescent="0.25">
      <c r="A948" s="105">
        <v>44987.632638888892</v>
      </c>
      <c r="B948" s="107" t="s">
        <v>1554</v>
      </c>
      <c r="C948" s="99" t="s">
        <v>1550</v>
      </c>
      <c r="D948" s="99" t="s">
        <v>1551</v>
      </c>
      <c r="E948" s="93">
        <v>141</v>
      </c>
      <c r="F948" s="94" t="s">
        <v>1543</v>
      </c>
      <c r="G948" s="95" t="s">
        <v>435</v>
      </c>
      <c r="H948" s="94">
        <v>105131564</v>
      </c>
      <c r="I948" s="101">
        <f t="shared" si="56"/>
        <v>44987.632638888892</v>
      </c>
      <c r="J948" s="102">
        <f t="shared" si="57"/>
        <v>3</v>
      </c>
      <c r="K948" s="103">
        <f t="shared" si="58"/>
        <v>2</v>
      </c>
      <c r="L948" s="83">
        <f t="shared" si="59"/>
        <v>15</v>
      </c>
    </row>
    <row r="949" spans="1:12" x14ac:dyDescent="0.25">
      <c r="A949" s="105">
        <v>44987.546527777777</v>
      </c>
      <c r="B949" s="107" t="s">
        <v>1561</v>
      </c>
      <c r="C949" s="99" t="s">
        <v>1562</v>
      </c>
      <c r="D949" s="99" t="s">
        <v>1563</v>
      </c>
      <c r="E949" s="93">
        <v>112.47</v>
      </c>
      <c r="F949" s="94" t="s">
        <v>1543</v>
      </c>
      <c r="G949" s="95" t="s">
        <v>437</v>
      </c>
      <c r="H949" s="94">
        <v>105105157</v>
      </c>
      <c r="I949" s="101">
        <f t="shared" si="56"/>
        <v>44987.546527777777</v>
      </c>
      <c r="J949" s="102">
        <f t="shared" si="57"/>
        <v>3</v>
      </c>
      <c r="K949" s="103">
        <f t="shared" si="58"/>
        <v>2</v>
      </c>
      <c r="L949" s="83">
        <f t="shared" si="59"/>
        <v>13</v>
      </c>
    </row>
    <row r="950" spans="1:12" x14ac:dyDescent="0.25">
      <c r="A950" s="105">
        <v>44987.452777777777</v>
      </c>
      <c r="B950" s="107" t="s">
        <v>1568</v>
      </c>
      <c r="C950" s="99" t="s">
        <v>1552</v>
      </c>
      <c r="D950" s="99" t="s">
        <v>1553</v>
      </c>
      <c r="E950" s="93">
        <v>98.64</v>
      </c>
      <c r="F950" s="94" t="s">
        <v>1543</v>
      </c>
      <c r="G950" s="95" t="s">
        <v>439</v>
      </c>
      <c r="H950" s="94">
        <v>105353681</v>
      </c>
      <c r="I950" s="101">
        <f t="shared" si="56"/>
        <v>44987.452777777777</v>
      </c>
      <c r="J950" s="102">
        <f t="shared" si="57"/>
        <v>3</v>
      </c>
      <c r="K950" s="103">
        <f t="shared" si="58"/>
        <v>2</v>
      </c>
      <c r="L950" s="83">
        <f t="shared" si="59"/>
        <v>10</v>
      </c>
    </row>
    <row r="951" spans="1:12" x14ac:dyDescent="0.25">
      <c r="A951" s="105">
        <v>44987.426388888889</v>
      </c>
      <c r="B951" s="107" t="s">
        <v>1575</v>
      </c>
      <c r="C951" s="99" t="s">
        <v>1555</v>
      </c>
      <c r="D951" s="99" t="s">
        <v>1556</v>
      </c>
      <c r="E951" s="93">
        <v>77.040000000000006</v>
      </c>
      <c r="F951" s="94" t="s">
        <v>1543</v>
      </c>
      <c r="G951" s="95" t="s">
        <v>441</v>
      </c>
      <c r="H951" s="94">
        <v>105161255</v>
      </c>
      <c r="I951" s="101">
        <f t="shared" si="56"/>
        <v>44987.426388888889</v>
      </c>
      <c r="J951" s="102">
        <f t="shared" si="57"/>
        <v>3</v>
      </c>
      <c r="K951" s="103">
        <f t="shared" si="58"/>
        <v>2</v>
      </c>
      <c r="L951" s="83">
        <f t="shared" si="59"/>
        <v>10</v>
      </c>
    </row>
    <row r="952" spans="1:12" x14ac:dyDescent="0.25">
      <c r="A952" s="105">
        <v>44987.479166666664</v>
      </c>
      <c r="B952" s="107" t="s">
        <v>1582</v>
      </c>
      <c r="C952" s="99" t="s">
        <v>1559</v>
      </c>
      <c r="D952" s="99" t="s">
        <v>1560</v>
      </c>
      <c r="E952" s="93">
        <v>100</v>
      </c>
      <c r="F952" s="94" t="s">
        <v>1544</v>
      </c>
      <c r="G952" s="95" t="s">
        <v>443</v>
      </c>
      <c r="H952" s="94">
        <v>104542745</v>
      </c>
      <c r="I952" s="101">
        <f t="shared" si="56"/>
        <v>44987.479166666664</v>
      </c>
      <c r="J952" s="102">
        <f t="shared" si="57"/>
        <v>3</v>
      </c>
      <c r="K952" s="103">
        <f t="shared" si="58"/>
        <v>2</v>
      </c>
      <c r="L952" s="83">
        <f t="shared" si="59"/>
        <v>11</v>
      </c>
    </row>
    <row r="953" spans="1:12" x14ac:dyDescent="0.25">
      <c r="A953" s="105">
        <v>44987.777777777781</v>
      </c>
      <c r="B953" s="107" t="s">
        <v>1586</v>
      </c>
      <c r="C953" s="99" t="s">
        <v>1548</v>
      </c>
      <c r="D953" s="99" t="s">
        <v>1549</v>
      </c>
      <c r="E953" s="93">
        <v>16.13</v>
      </c>
      <c r="F953" s="94" t="s">
        <v>1544</v>
      </c>
      <c r="G953" s="95" t="s">
        <v>445</v>
      </c>
      <c r="H953" s="94">
        <v>105699908</v>
      </c>
      <c r="I953" s="101">
        <f t="shared" si="56"/>
        <v>44987.777777777781</v>
      </c>
      <c r="J953" s="102">
        <f t="shared" si="57"/>
        <v>3</v>
      </c>
      <c r="K953" s="103">
        <f t="shared" si="58"/>
        <v>2</v>
      </c>
      <c r="L953" s="83">
        <f t="shared" si="59"/>
        <v>18</v>
      </c>
    </row>
    <row r="954" spans="1:12" x14ac:dyDescent="0.25">
      <c r="A954" s="105">
        <v>44987.630555555559</v>
      </c>
      <c r="B954" s="107" t="s">
        <v>1589</v>
      </c>
      <c r="C954" s="99" t="s">
        <v>1566</v>
      </c>
      <c r="D954" s="99" t="s">
        <v>1567</v>
      </c>
      <c r="E954" s="93">
        <v>101.36</v>
      </c>
      <c r="F954" s="94" t="s">
        <v>1543</v>
      </c>
      <c r="G954" s="95" t="s">
        <v>447</v>
      </c>
      <c r="H954" s="94">
        <v>100406886</v>
      </c>
      <c r="I954" s="101">
        <f t="shared" si="56"/>
        <v>44987.630555555559</v>
      </c>
      <c r="J954" s="102">
        <f t="shared" si="57"/>
        <v>3</v>
      </c>
      <c r="K954" s="103">
        <f t="shared" si="58"/>
        <v>2</v>
      </c>
      <c r="L954" s="83">
        <f t="shared" si="59"/>
        <v>15</v>
      </c>
    </row>
    <row r="955" spans="1:12" x14ac:dyDescent="0.25">
      <c r="A955" s="105">
        <v>44987.629166666666</v>
      </c>
      <c r="B955" s="107" t="s">
        <v>1590</v>
      </c>
      <c r="C955" s="99" t="s">
        <v>1564</v>
      </c>
      <c r="D955" s="99" t="s">
        <v>1565</v>
      </c>
      <c r="E955" s="93">
        <v>140.97999999999999</v>
      </c>
      <c r="F955" s="94" t="s">
        <v>1543</v>
      </c>
      <c r="G955" s="95" t="s">
        <v>449</v>
      </c>
      <c r="H955" s="94">
        <v>104399502</v>
      </c>
      <c r="I955" s="101">
        <f t="shared" si="56"/>
        <v>44987.629166666666</v>
      </c>
      <c r="J955" s="102">
        <f t="shared" si="57"/>
        <v>3</v>
      </c>
      <c r="K955" s="103">
        <f t="shared" si="58"/>
        <v>2</v>
      </c>
      <c r="L955" s="83">
        <f t="shared" si="59"/>
        <v>15</v>
      </c>
    </row>
    <row r="956" spans="1:12" x14ac:dyDescent="0.25">
      <c r="A956" s="105">
        <v>44987.47152777778</v>
      </c>
      <c r="B956" s="107" t="s">
        <v>1591</v>
      </c>
      <c r="C956" s="99" t="s">
        <v>1548</v>
      </c>
      <c r="D956" s="99" t="s">
        <v>1549</v>
      </c>
      <c r="E956" s="93">
        <v>43.43</v>
      </c>
      <c r="F956" s="94" t="s">
        <v>1543</v>
      </c>
      <c r="G956" s="95" t="s">
        <v>452</v>
      </c>
      <c r="H956" s="94">
        <v>105671524</v>
      </c>
      <c r="I956" s="101">
        <f t="shared" si="56"/>
        <v>44987.47152777778</v>
      </c>
      <c r="J956" s="102">
        <f t="shared" si="57"/>
        <v>3</v>
      </c>
      <c r="K956" s="103">
        <f t="shared" si="58"/>
        <v>2</v>
      </c>
      <c r="L956" s="83">
        <f t="shared" si="59"/>
        <v>11</v>
      </c>
    </row>
    <row r="957" spans="1:12" x14ac:dyDescent="0.25">
      <c r="A957" s="105">
        <v>44987.627083333333</v>
      </c>
      <c r="B957" s="107" t="s">
        <v>1592</v>
      </c>
      <c r="C957" s="99" t="s">
        <v>1550</v>
      </c>
      <c r="D957" s="99" t="s">
        <v>1551</v>
      </c>
      <c r="E957" s="93">
        <v>136.59</v>
      </c>
      <c r="F957" s="94" t="s">
        <v>1543</v>
      </c>
      <c r="G957" s="95" t="s">
        <v>454</v>
      </c>
      <c r="H957" s="94">
        <v>103073277</v>
      </c>
      <c r="I957" s="101">
        <f t="shared" si="56"/>
        <v>44987.627083333333</v>
      </c>
      <c r="J957" s="102">
        <f t="shared" si="57"/>
        <v>3</v>
      </c>
      <c r="K957" s="103">
        <f t="shared" si="58"/>
        <v>2</v>
      </c>
      <c r="L957" s="83">
        <f t="shared" si="59"/>
        <v>15</v>
      </c>
    </row>
    <row r="958" spans="1:12" x14ac:dyDescent="0.25">
      <c r="A958" s="105">
        <v>44987.645138888889</v>
      </c>
      <c r="B958" s="107" t="s">
        <v>1593</v>
      </c>
      <c r="C958" s="99" t="s">
        <v>1557</v>
      </c>
      <c r="D958" s="99" t="s">
        <v>1558</v>
      </c>
      <c r="E958" s="93">
        <v>152</v>
      </c>
      <c r="F958" s="94" t="s">
        <v>1543</v>
      </c>
      <c r="G958" s="95" t="s">
        <v>456</v>
      </c>
      <c r="H958" s="94">
        <v>103606817</v>
      </c>
      <c r="I958" s="101">
        <f t="shared" si="56"/>
        <v>44987.645138888889</v>
      </c>
      <c r="J958" s="102">
        <f t="shared" si="57"/>
        <v>3</v>
      </c>
      <c r="K958" s="103">
        <f t="shared" si="58"/>
        <v>2</v>
      </c>
      <c r="L958" s="83">
        <f t="shared" si="59"/>
        <v>15</v>
      </c>
    </row>
    <row r="959" spans="1:12" x14ac:dyDescent="0.25">
      <c r="A959" s="105">
        <v>44987.456944444442</v>
      </c>
      <c r="B959" s="107" t="s">
        <v>1594</v>
      </c>
      <c r="C959" s="99" t="s">
        <v>1562</v>
      </c>
      <c r="D959" s="99" t="s">
        <v>1563</v>
      </c>
      <c r="E959" s="93">
        <v>56.48</v>
      </c>
      <c r="F959" s="94" t="s">
        <v>1543</v>
      </c>
      <c r="G959" s="95" t="s">
        <v>458</v>
      </c>
      <c r="H959" s="94">
        <v>103462776</v>
      </c>
      <c r="I959" s="101">
        <f t="shared" si="56"/>
        <v>44987.456944444442</v>
      </c>
      <c r="J959" s="102">
        <f t="shared" si="57"/>
        <v>3</v>
      </c>
      <c r="K959" s="103">
        <f t="shared" si="58"/>
        <v>2</v>
      </c>
      <c r="L959" s="83">
        <f t="shared" si="59"/>
        <v>10</v>
      </c>
    </row>
    <row r="960" spans="1:12" x14ac:dyDescent="0.25">
      <c r="A960" s="105">
        <v>44987.749305555553</v>
      </c>
      <c r="B960" s="107" t="s">
        <v>1595</v>
      </c>
      <c r="C960" s="99" t="s">
        <v>1576</v>
      </c>
      <c r="D960" s="99" t="s">
        <v>1577</v>
      </c>
      <c r="E960" s="93">
        <v>36.520000000000003</v>
      </c>
      <c r="F960" s="94" t="s">
        <v>1543</v>
      </c>
      <c r="G960" s="95" t="s">
        <v>460</v>
      </c>
      <c r="H960" s="94">
        <v>105590122</v>
      </c>
      <c r="I960" s="101">
        <f t="shared" si="56"/>
        <v>44987.749305555553</v>
      </c>
      <c r="J960" s="102">
        <f t="shared" si="57"/>
        <v>3</v>
      </c>
      <c r="K960" s="103">
        <f t="shared" si="58"/>
        <v>2</v>
      </c>
      <c r="L960" s="83">
        <f t="shared" si="59"/>
        <v>17</v>
      </c>
    </row>
    <row r="961" spans="1:12" x14ac:dyDescent="0.25">
      <c r="A961" s="105">
        <v>44987.736111111109</v>
      </c>
      <c r="B961" s="107" t="s">
        <v>1597</v>
      </c>
      <c r="C961" s="99" t="s">
        <v>1569</v>
      </c>
      <c r="D961" s="99" t="s">
        <v>1570</v>
      </c>
      <c r="E961" s="93">
        <v>60.61</v>
      </c>
      <c r="F961" s="94" t="s">
        <v>1543</v>
      </c>
      <c r="G961" s="95" t="s">
        <v>462</v>
      </c>
      <c r="H961" s="94">
        <v>105752207</v>
      </c>
      <c r="I961" s="101">
        <f t="shared" si="56"/>
        <v>44987.736111111109</v>
      </c>
      <c r="J961" s="102">
        <f t="shared" si="57"/>
        <v>3</v>
      </c>
      <c r="K961" s="103">
        <f t="shared" si="58"/>
        <v>2</v>
      </c>
      <c r="L961" s="83">
        <f t="shared" si="59"/>
        <v>17</v>
      </c>
    </row>
    <row r="962" spans="1:12" x14ac:dyDescent="0.25">
      <c r="A962" s="105">
        <v>44987.525000000001</v>
      </c>
      <c r="B962" s="107" t="s">
        <v>1547</v>
      </c>
      <c r="C962" s="99" t="s">
        <v>1548</v>
      </c>
      <c r="D962" s="99" t="s">
        <v>1549</v>
      </c>
      <c r="E962" s="93">
        <v>129.09</v>
      </c>
      <c r="F962" s="94" t="s">
        <v>1543</v>
      </c>
      <c r="G962" s="95" t="s">
        <v>464</v>
      </c>
      <c r="H962" s="94">
        <v>101336014</v>
      </c>
      <c r="I962" s="101">
        <f t="shared" si="56"/>
        <v>44987.525000000001</v>
      </c>
      <c r="J962" s="102">
        <f t="shared" si="57"/>
        <v>3</v>
      </c>
      <c r="K962" s="103">
        <f t="shared" si="58"/>
        <v>2</v>
      </c>
      <c r="L962" s="83">
        <f t="shared" si="59"/>
        <v>12</v>
      </c>
    </row>
    <row r="963" spans="1:12" x14ac:dyDescent="0.25">
      <c r="A963" s="105">
        <v>44987.440972222219</v>
      </c>
      <c r="B963" s="107" t="s">
        <v>1554</v>
      </c>
      <c r="C963" s="99" t="s">
        <v>1559</v>
      </c>
      <c r="D963" s="99" t="s">
        <v>1560</v>
      </c>
      <c r="E963" s="93">
        <v>12.71</v>
      </c>
      <c r="F963" s="94" t="s">
        <v>1544</v>
      </c>
      <c r="G963" s="95" t="s">
        <v>466</v>
      </c>
      <c r="H963" s="94">
        <v>102432103</v>
      </c>
      <c r="I963" s="101">
        <f t="shared" ref="I963:I991" si="60">A963</f>
        <v>44987.440972222219</v>
      </c>
      <c r="J963" s="102">
        <f t="shared" ref="J963:J991" si="61">MONTH(A963)</f>
        <v>3</v>
      </c>
      <c r="K963" s="103">
        <f t="shared" ref="K963:K991" si="62">DAY(A963)</f>
        <v>2</v>
      </c>
      <c r="L963" s="83">
        <f t="shared" ref="L963:L991" si="63">HOUR(A963)</f>
        <v>10</v>
      </c>
    </row>
    <row r="964" spans="1:12" x14ac:dyDescent="0.25">
      <c r="A964" s="105">
        <v>44987.43472222222</v>
      </c>
      <c r="B964" s="107" t="s">
        <v>1561</v>
      </c>
      <c r="C964" s="99" t="s">
        <v>1571</v>
      </c>
      <c r="D964" s="99" t="s">
        <v>1572</v>
      </c>
      <c r="E964" s="93">
        <v>20</v>
      </c>
      <c r="F964" s="94" t="s">
        <v>1544</v>
      </c>
      <c r="G964" s="95" t="s">
        <v>468</v>
      </c>
      <c r="H964" s="94">
        <v>103828210</v>
      </c>
      <c r="I964" s="101">
        <f t="shared" si="60"/>
        <v>44987.43472222222</v>
      </c>
      <c r="J964" s="102">
        <f t="shared" si="61"/>
        <v>3</v>
      </c>
      <c r="K964" s="103">
        <f t="shared" si="62"/>
        <v>2</v>
      </c>
      <c r="L964" s="83">
        <f t="shared" si="63"/>
        <v>10</v>
      </c>
    </row>
    <row r="965" spans="1:12" x14ac:dyDescent="0.25">
      <c r="A965" s="105">
        <v>44987.540972222225</v>
      </c>
      <c r="B965" s="107" t="s">
        <v>1568</v>
      </c>
      <c r="C965" s="99" t="s">
        <v>1550</v>
      </c>
      <c r="D965" s="99" t="s">
        <v>1551</v>
      </c>
      <c r="E965" s="93">
        <v>133.18</v>
      </c>
      <c r="F965" s="94" t="s">
        <v>1543</v>
      </c>
      <c r="G965" s="95" t="s">
        <v>470</v>
      </c>
      <c r="H965" s="94">
        <v>103689390</v>
      </c>
      <c r="I965" s="101">
        <f t="shared" si="60"/>
        <v>44987.540972222225</v>
      </c>
      <c r="J965" s="102">
        <f t="shared" si="61"/>
        <v>3</v>
      </c>
      <c r="K965" s="103">
        <f t="shared" si="62"/>
        <v>2</v>
      </c>
      <c r="L965" s="83">
        <f t="shared" si="63"/>
        <v>12</v>
      </c>
    </row>
    <row r="966" spans="1:12" x14ac:dyDescent="0.25">
      <c r="A966" s="105">
        <v>44987.423611111109</v>
      </c>
      <c r="B966" s="107" t="s">
        <v>1575</v>
      </c>
      <c r="C966" s="99" t="s">
        <v>1557</v>
      </c>
      <c r="D966" s="99" t="s">
        <v>1558</v>
      </c>
      <c r="E966" s="93">
        <v>216</v>
      </c>
      <c r="F966" s="94" t="s">
        <v>1543</v>
      </c>
      <c r="G966" s="95" t="s">
        <v>472</v>
      </c>
      <c r="H966" s="94">
        <v>104362014</v>
      </c>
      <c r="I966" s="101">
        <f t="shared" si="60"/>
        <v>44987.423611111109</v>
      </c>
      <c r="J966" s="102">
        <f t="shared" si="61"/>
        <v>3</v>
      </c>
      <c r="K966" s="103">
        <f t="shared" si="62"/>
        <v>2</v>
      </c>
      <c r="L966" s="83">
        <f t="shared" si="63"/>
        <v>10</v>
      </c>
    </row>
    <row r="967" spans="1:12" x14ac:dyDescent="0.25">
      <c r="A967" s="105">
        <v>44987.717361111114</v>
      </c>
      <c r="B967" s="107" t="s">
        <v>1582</v>
      </c>
      <c r="C967" s="99" t="s">
        <v>1555</v>
      </c>
      <c r="D967" s="99" t="s">
        <v>1556</v>
      </c>
      <c r="E967" s="93">
        <v>238</v>
      </c>
      <c r="F967" s="94" t="s">
        <v>1543</v>
      </c>
      <c r="G967" s="95" t="s">
        <v>475</v>
      </c>
      <c r="H967" s="94">
        <v>105055366</v>
      </c>
      <c r="I967" s="101">
        <f t="shared" si="60"/>
        <v>44987.717361111114</v>
      </c>
      <c r="J967" s="102">
        <f t="shared" si="61"/>
        <v>3</v>
      </c>
      <c r="K967" s="103">
        <f t="shared" si="62"/>
        <v>2</v>
      </c>
      <c r="L967" s="83">
        <f t="shared" si="63"/>
        <v>17</v>
      </c>
    </row>
    <row r="968" spans="1:12" x14ac:dyDescent="0.25">
      <c r="A968" s="105">
        <v>44987.631249999999</v>
      </c>
      <c r="B968" s="107" t="s">
        <v>1586</v>
      </c>
      <c r="C968" s="99" t="s">
        <v>1548</v>
      </c>
      <c r="D968" s="99" t="s">
        <v>1549</v>
      </c>
      <c r="E968" s="93">
        <v>200</v>
      </c>
      <c r="F968" s="94" t="s">
        <v>1543</v>
      </c>
      <c r="G968" s="95" t="s">
        <v>477</v>
      </c>
      <c r="H968" s="94">
        <v>102143830</v>
      </c>
      <c r="I968" s="101">
        <f t="shared" si="60"/>
        <v>44987.631249999999</v>
      </c>
      <c r="J968" s="102">
        <f t="shared" si="61"/>
        <v>3</v>
      </c>
      <c r="K968" s="103">
        <f t="shared" si="62"/>
        <v>2</v>
      </c>
      <c r="L968" s="83">
        <f t="shared" si="63"/>
        <v>15</v>
      </c>
    </row>
    <row r="969" spans="1:12" x14ac:dyDescent="0.25">
      <c r="A969" s="105">
        <v>44987.597222222219</v>
      </c>
      <c r="B969" s="107" t="s">
        <v>1589</v>
      </c>
      <c r="C969" s="99" t="s">
        <v>1550</v>
      </c>
      <c r="D969" s="99" t="s">
        <v>1551</v>
      </c>
      <c r="E969" s="93">
        <v>210</v>
      </c>
      <c r="F969" s="94" t="s">
        <v>1543</v>
      </c>
      <c r="G969" s="95" t="s">
        <v>479</v>
      </c>
      <c r="H969" s="94">
        <v>105132025</v>
      </c>
      <c r="I969" s="101">
        <f t="shared" si="60"/>
        <v>44987.597222222219</v>
      </c>
      <c r="J969" s="102">
        <f t="shared" si="61"/>
        <v>3</v>
      </c>
      <c r="K969" s="103">
        <f t="shared" si="62"/>
        <v>2</v>
      </c>
      <c r="L969" s="83">
        <f t="shared" si="63"/>
        <v>14</v>
      </c>
    </row>
    <row r="970" spans="1:12" x14ac:dyDescent="0.25">
      <c r="A970" s="105">
        <v>44987.48333333333</v>
      </c>
      <c r="B970" s="107" t="s">
        <v>1590</v>
      </c>
      <c r="C970" s="99" t="s">
        <v>1552</v>
      </c>
      <c r="D970" s="99" t="s">
        <v>1553</v>
      </c>
      <c r="E970" s="93">
        <v>47</v>
      </c>
      <c r="F970" s="94" t="s">
        <v>1543</v>
      </c>
      <c r="G970" s="95" t="s">
        <v>481</v>
      </c>
      <c r="H970" s="94">
        <v>105336116</v>
      </c>
      <c r="I970" s="101">
        <f t="shared" si="60"/>
        <v>44987.48333333333</v>
      </c>
      <c r="J970" s="102">
        <f t="shared" si="61"/>
        <v>3</v>
      </c>
      <c r="K970" s="103">
        <f t="shared" si="62"/>
        <v>2</v>
      </c>
      <c r="L970" s="83">
        <f t="shared" si="63"/>
        <v>11</v>
      </c>
    </row>
    <row r="971" spans="1:12" x14ac:dyDescent="0.25">
      <c r="A971" s="105">
        <v>44987.643750000003</v>
      </c>
      <c r="B971" s="107" t="s">
        <v>1591</v>
      </c>
      <c r="C971" s="99" t="s">
        <v>1555</v>
      </c>
      <c r="D971" s="99" t="s">
        <v>1556</v>
      </c>
      <c r="E971" s="93">
        <v>97.24</v>
      </c>
      <c r="F971" s="94" t="s">
        <v>1543</v>
      </c>
      <c r="G971" s="95" t="s">
        <v>483</v>
      </c>
      <c r="H971" s="94">
        <v>102463160</v>
      </c>
      <c r="I971" s="101">
        <f t="shared" si="60"/>
        <v>44987.643750000003</v>
      </c>
      <c r="J971" s="102">
        <f t="shared" si="61"/>
        <v>3</v>
      </c>
      <c r="K971" s="103">
        <f t="shared" si="62"/>
        <v>2</v>
      </c>
      <c r="L971" s="83">
        <f t="shared" si="63"/>
        <v>15</v>
      </c>
    </row>
    <row r="972" spans="1:12" x14ac:dyDescent="0.25">
      <c r="A972" s="105">
        <v>44987.7</v>
      </c>
      <c r="B972" s="107" t="s">
        <v>1592</v>
      </c>
      <c r="C972" s="99" t="s">
        <v>1557</v>
      </c>
      <c r="D972" s="99" t="s">
        <v>1558</v>
      </c>
      <c r="E972" s="93">
        <v>165</v>
      </c>
      <c r="F972" s="94" t="s">
        <v>1543</v>
      </c>
      <c r="G972" s="95" t="s">
        <v>485</v>
      </c>
      <c r="H972" s="94">
        <v>105272642</v>
      </c>
      <c r="I972" s="101">
        <f t="shared" si="60"/>
        <v>44987.7</v>
      </c>
      <c r="J972" s="102">
        <f t="shared" si="61"/>
        <v>3</v>
      </c>
      <c r="K972" s="103">
        <f t="shared" si="62"/>
        <v>2</v>
      </c>
      <c r="L972" s="83">
        <f t="shared" si="63"/>
        <v>16</v>
      </c>
    </row>
    <row r="973" spans="1:12" x14ac:dyDescent="0.25">
      <c r="A973" s="105">
        <v>44987.725694444445</v>
      </c>
      <c r="B973" s="107" t="s">
        <v>1593</v>
      </c>
      <c r="C973" s="99" t="s">
        <v>1559</v>
      </c>
      <c r="D973" s="99" t="s">
        <v>1560</v>
      </c>
      <c r="E973" s="93">
        <v>265.70999999999998</v>
      </c>
      <c r="F973" s="94" t="s">
        <v>1543</v>
      </c>
      <c r="G973" s="95" t="s">
        <v>487</v>
      </c>
      <c r="H973" s="94">
        <v>102696115</v>
      </c>
      <c r="I973" s="101">
        <f t="shared" si="60"/>
        <v>44987.725694444445</v>
      </c>
      <c r="J973" s="102">
        <f t="shared" si="61"/>
        <v>3</v>
      </c>
      <c r="K973" s="103">
        <f t="shared" si="62"/>
        <v>2</v>
      </c>
      <c r="L973" s="83">
        <f t="shared" si="63"/>
        <v>17</v>
      </c>
    </row>
    <row r="974" spans="1:12" x14ac:dyDescent="0.25">
      <c r="A974" s="105">
        <v>44987.627083333333</v>
      </c>
      <c r="B974" s="107" t="s">
        <v>1594</v>
      </c>
      <c r="C974" s="99" t="s">
        <v>1562</v>
      </c>
      <c r="D974" s="99" t="s">
        <v>1563</v>
      </c>
      <c r="E974" s="93">
        <v>46.79</v>
      </c>
      <c r="F974" s="94" t="s">
        <v>1543</v>
      </c>
      <c r="G974" s="95" t="s">
        <v>489</v>
      </c>
      <c r="H974" s="94">
        <v>105338624</v>
      </c>
      <c r="I974" s="101">
        <f t="shared" si="60"/>
        <v>44987.627083333333</v>
      </c>
      <c r="J974" s="102">
        <f t="shared" si="61"/>
        <v>3</v>
      </c>
      <c r="K974" s="103">
        <f t="shared" si="62"/>
        <v>2</v>
      </c>
      <c r="L974" s="83">
        <f t="shared" si="63"/>
        <v>15</v>
      </c>
    </row>
    <row r="975" spans="1:12" x14ac:dyDescent="0.25">
      <c r="A975" s="105">
        <v>44987.493055555555</v>
      </c>
      <c r="B975" s="107" t="s">
        <v>1595</v>
      </c>
      <c r="C975" s="99" t="s">
        <v>1564</v>
      </c>
      <c r="D975" s="99" t="s">
        <v>1565</v>
      </c>
      <c r="E975" s="93">
        <v>60</v>
      </c>
      <c r="F975" s="94" t="s">
        <v>1543</v>
      </c>
      <c r="G975" s="95" t="s">
        <v>491</v>
      </c>
      <c r="H975" s="94">
        <v>103929667</v>
      </c>
      <c r="I975" s="101">
        <f t="shared" si="60"/>
        <v>44987.493055555555</v>
      </c>
      <c r="J975" s="102">
        <f t="shared" si="61"/>
        <v>3</v>
      </c>
      <c r="K975" s="103">
        <f t="shared" si="62"/>
        <v>2</v>
      </c>
      <c r="L975" s="83">
        <f t="shared" si="63"/>
        <v>11</v>
      </c>
    </row>
    <row r="976" spans="1:12" x14ac:dyDescent="0.25">
      <c r="A976" s="105">
        <v>44987.714583333334</v>
      </c>
      <c r="B976" s="107" t="s">
        <v>1597</v>
      </c>
      <c r="C976" s="99" t="s">
        <v>1566</v>
      </c>
      <c r="D976" s="99" t="s">
        <v>1567</v>
      </c>
      <c r="E976" s="93">
        <v>60</v>
      </c>
      <c r="F976" s="94" t="s">
        <v>1543</v>
      </c>
      <c r="G976" s="95" t="s">
        <v>493</v>
      </c>
      <c r="H976" s="94">
        <v>103211936</v>
      </c>
      <c r="I976" s="101">
        <f t="shared" si="60"/>
        <v>44987.714583333334</v>
      </c>
      <c r="J976" s="102">
        <f t="shared" si="61"/>
        <v>3</v>
      </c>
      <c r="K976" s="103">
        <f t="shared" si="62"/>
        <v>2</v>
      </c>
      <c r="L976" s="83">
        <f t="shared" si="63"/>
        <v>17</v>
      </c>
    </row>
    <row r="977" spans="1:12" x14ac:dyDescent="0.25">
      <c r="A977" s="105">
        <v>44987.6</v>
      </c>
      <c r="B977" s="107" t="s">
        <v>1547</v>
      </c>
      <c r="C977" s="99" t="s">
        <v>1569</v>
      </c>
      <c r="D977" s="99" t="s">
        <v>1570</v>
      </c>
      <c r="E977" s="93">
        <v>144</v>
      </c>
      <c r="F977" s="94" t="s">
        <v>1543</v>
      </c>
      <c r="G977" s="95" t="s">
        <v>495</v>
      </c>
      <c r="H977" s="94">
        <v>100249995</v>
      </c>
      <c r="I977" s="101">
        <f t="shared" si="60"/>
        <v>44987.6</v>
      </c>
      <c r="J977" s="102">
        <f t="shared" si="61"/>
        <v>3</v>
      </c>
      <c r="K977" s="103">
        <f t="shared" si="62"/>
        <v>2</v>
      </c>
      <c r="L977" s="83">
        <f t="shared" si="63"/>
        <v>14</v>
      </c>
    </row>
    <row r="978" spans="1:12" x14ac:dyDescent="0.25">
      <c r="A978" s="105">
        <v>44987.626388888886</v>
      </c>
      <c r="B978" s="107" t="s">
        <v>1554</v>
      </c>
      <c r="C978" s="99" t="s">
        <v>1571</v>
      </c>
      <c r="D978" s="99" t="s">
        <v>1572</v>
      </c>
      <c r="E978" s="93">
        <v>133.68</v>
      </c>
      <c r="F978" s="94" t="s">
        <v>1543</v>
      </c>
      <c r="G978" s="95" t="s">
        <v>498</v>
      </c>
      <c r="H978" s="94">
        <v>101697446</v>
      </c>
      <c r="I978" s="101">
        <f t="shared" si="60"/>
        <v>44987.626388888886</v>
      </c>
      <c r="J978" s="102">
        <f t="shared" si="61"/>
        <v>3</v>
      </c>
      <c r="K978" s="103">
        <f t="shared" si="62"/>
        <v>2</v>
      </c>
      <c r="L978" s="83">
        <f t="shared" si="63"/>
        <v>15</v>
      </c>
    </row>
    <row r="979" spans="1:12" x14ac:dyDescent="0.25">
      <c r="A979" s="105">
        <v>44987.718055555553</v>
      </c>
      <c r="B979" s="107" t="s">
        <v>1561</v>
      </c>
      <c r="C979" s="99" t="s">
        <v>1573</v>
      </c>
      <c r="D979" s="99" t="s">
        <v>1574</v>
      </c>
      <c r="E979" s="93">
        <v>85.78</v>
      </c>
      <c r="F979" s="94" t="s">
        <v>1543</v>
      </c>
      <c r="G979" s="95" t="s">
        <v>500</v>
      </c>
      <c r="H979" s="94">
        <v>105086749</v>
      </c>
      <c r="I979" s="101">
        <f t="shared" si="60"/>
        <v>44987.718055555553</v>
      </c>
      <c r="J979" s="102">
        <f t="shared" si="61"/>
        <v>3</v>
      </c>
      <c r="K979" s="103">
        <f t="shared" si="62"/>
        <v>2</v>
      </c>
      <c r="L979" s="83">
        <f t="shared" si="63"/>
        <v>17</v>
      </c>
    </row>
    <row r="980" spans="1:12" x14ac:dyDescent="0.25">
      <c r="A980" s="105">
        <v>44987.68472222222</v>
      </c>
      <c r="B980" s="107" t="s">
        <v>1568</v>
      </c>
      <c r="C980" s="99" t="s">
        <v>1576</v>
      </c>
      <c r="D980" s="99" t="s">
        <v>1577</v>
      </c>
      <c r="E980" s="93">
        <v>106</v>
      </c>
      <c r="F980" s="94" t="s">
        <v>1543</v>
      </c>
      <c r="G980" s="95" t="s">
        <v>502</v>
      </c>
      <c r="H980" s="94">
        <v>104917020</v>
      </c>
      <c r="I980" s="101">
        <f t="shared" si="60"/>
        <v>44987.68472222222</v>
      </c>
      <c r="J980" s="102">
        <f t="shared" si="61"/>
        <v>3</v>
      </c>
      <c r="K980" s="103">
        <f t="shared" si="62"/>
        <v>2</v>
      </c>
      <c r="L980" s="83">
        <f t="shared" si="63"/>
        <v>16</v>
      </c>
    </row>
    <row r="981" spans="1:12" x14ac:dyDescent="0.25">
      <c r="A981" s="105">
        <v>44987.672222222223</v>
      </c>
      <c r="B981" s="107" t="s">
        <v>1575</v>
      </c>
      <c r="C981" s="99" t="s">
        <v>1578</v>
      </c>
      <c r="D981" s="99" t="s">
        <v>1579</v>
      </c>
      <c r="E981" s="93">
        <v>150</v>
      </c>
      <c r="F981" s="94" t="s">
        <v>1543</v>
      </c>
      <c r="G981" s="95" t="s">
        <v>504</v>
      </c>
      <c r="H981" s="94">
        <v>102923283</v>
      </c>
      <c r="I981" s="101">
        <f t="shared" si="60"/>
        <v>44987.672222222223</v>
      </c>
      <c r="J981" s="102">
        <f t="shared" si="61"/>
        <v>3</v>
      </c>
      <c r="K981" s="103">
        <f t="shared" si="62"/>
        <v>2</v>
      </c>
      <c r="L981" s="83">
        <f t="shared" si="63"/>
        <v>16</v>
      </c>
    </row>
    <row r="982" spans="1:12" x14ac:dyDescent="0.25">
      <c r="A982" s="105">
        <v>44987.431944444441</v>
      </c>
      <c r="B982" s="107" t="s">
        <v>1582</v>
      </c>
      <c r="C982" s="99" t="s">
        <v>1580</v>
      </c>
      <c r="D982" s="99" t="s">
        <v>1581</v>
      </c>
      <c r="E982" s="93">
        <v>105</v>
      </c>
      <c r="F982" s="94" t="s">
        <v>1544</v>
      </c>
      <c r="G982" s="95" t="s">
        <v>506</v>
      </c>
      <c r="H982" s="94">
        <v>103828210</v>
      </c>
      <c r="I982" s="101">
        <f t="shared" si="60"/>
        <v>44987.431944444441</v>
      </c>
      <c r="J982" s="102">
        <f t="shared" si="61"/>
        <v>3</v>
      </c>
      <c r="K982" s="103">
        <f t="shared" si="62"/>
        <v>2</v>
      </c>
      <c r="L982" s="83">
        <f t="shared" si="63"/>
        <v>10</v>
      </c>
    </row>
    <row r="983" spans="1:12" x14ac:dyDescent="0.25">
      <c r="A983" s="105">
        <v>44987.70208333333</v>
      </c>
      <c r="B983" s="107" t="s">
        <v>1586</v>
      </c>
      <c r="C983" s="99" t="s">
        <v>1548</v>
      </c>
      <c r="D983" s="99" t="s">
        <v>1549</v>
      </c>
      <c r="E983" s="93">
        <v>20</v>
      </c>
      <c r="F983" s="94" t="s">
        <v>1543</v>
      </c>
      <c r="G983" s="95" t="s">
        <v>508</v>
      </c>
      <c r="H983" s="94">
        <v>103078773</v>
      </c>
      <c r="I983" s="101">
        <f t="shared" si="60"/>
        <v>44987.70208333333</v>
      </c>
      <c r="J983" s="102">
        <f t="shared" si="61"/>
        <v>3</v>
      </c>
      <c r="K983" s="103">
        <f t="shared" si="62"/>
        <v>2</v>
      </c>
      <c r="L983" s="83">
        <f t="shared" si="63"/>
        <v>16</v>
      </c>
    </row>
    <row r="984" spans="1:12" x14ac:dyDescent="0.25">
      <c r="A984" s="105">
        <v>44987.665972222225</v>
      </c>
      <c r="B984" s="107" t="s">
        <v>1589</v>
      </c>
      <c r="C984" s="99" t="s">
        <v>1583</v>
      </c>
      <c r="D984" s="99" t="s">
        <v>1574</v>
      </c>
      <c r="E984" s="93">
        <v>44</v>
      </c>
      <c r="F984" s="94" t="s">
        <v>1543</v>
      </c>
      <c r="G984" s="95" t="s">
        <v>510</v>
      </c>
      <c r="H984" s="94">
        <v>105011835</v>
      </c>
      <c r="I984" s="101">
        <f t="shared" si="60"/>
        <v>44987.665972222225</v>
      </c>
      <c r="J984" s="102">
        <f t="shared" si="61"/>
        <v>3</v>
      </c>
      <c r="K984" s="103">
        <f t="shared" si="62"/>
        <v>2</v>
      </c>
      <c r="L984" s="83">
        <f t="shared" si="63"/>
        <v>15</v>
      </c>
    </row>
    <row r="985" spans="1:12" x14ac:dyDescent="0.25">
      <c r="A985" s="105">
        <v>44987.456944444442</v>
      </c>
      <c r="B985" s="107" t="s">
        <v>1590</v>
      </c>
      <c r="C985" s="99" t="s">
        <v>1584</v>
      </c>
      <c r="D985" s="99" t="s">
        <v>1585</v>
      </c>
      <c r="E985" s="93">
        <v>64.790000000000006</v>
      </c>
      <c r="F985" s="94" t="s">
        <v>1543</v>
      </c>
      <c r="G985" s="95" t="s">
        <v>512</v>
      </c>
      <c r="H985" s="94">
        <v>105413894</v>
      </c>
      <c r="I985" s="101">
        <f t="shared" si="60"/>
        <v>44987.456944444442</v>
      </c>
      <c r="J985" s="102">
        <f t="shared" si="61"/>
        <v>3</v>
      </c>
      <c r="K985" s="103">
        <f t="shared" si="62"/>
        <v>2</v>
      </c>
      <c r="L985" s="83">
        <f t="shared" si="63"/>
        <v>10</v>
      </c>
    </row>
    <row r="986" spans="1:12" x14ac:dyDescent="0.25">
      <c r="A986" s="105">
        <v>44987.458333333336</v>
      </c>
      <c r="B986" s="107" t="s">
        <v>1591</v>
      </c>
      <c r="C986" s="99" t="s">
        <v>1557</v>
      </c>
      <c r="D986" s="99" t="s">
        <v>1558</v>
      </c>
      <c r="E986" s="93">
        <v>53</v>
      </c>
      <c r="F986" s="94" t="s">
        <v>1544</v>
      </c>
      <c r="G986" s="95" t="s">
        <v>514</v>
      </c>
      <c r="H986" s="94">
        <v>103693136</v>
      </c>
      <c r="I986" s="101">
        <f t="shared" si="60"/>
        <v>44987.458333333336</v>
      </c>
      <c r="J986" s="102">
        <f t="shared" si="61"/>
        <v>3</v>
      </c>
      <c r="K986" s="103">
        <f t="shared" si="62"/>
        <v>2</v>
      </c>
      <c r="L986" s="83">
        <f t="shared" si="63"/>
        <v>11</v>
      </c>
    </row>
    <row r="987" spans="1:12" x14ac:dyDescent="0.25">
      <c r="A987" s="105">
        <v>44987.568055555559</v>
      </c>
      <c r="B987" s="107" t="s">
        <v>1592</v>
      </c>
      <c r="C987" s="99" t="s">
        <v>1587</v>
      </c>
      <c r="D987" s="99" t="s">
        <v>1588</v>
      </c>
      <c r="E987" s="93">
        <v>50</v>
      </c>
      <c r="F987" s="94" t="s">
        <v>1544</v>
      </c>
      <c r="G987" s="95" t="s">
        <v>516</v>
      </c>
      <c r="H987" s="94">
        <v>104965801</v>
      </c>
      <c r="I987" s="101">
        <f t="shared" si="60"/>
        <v>44987.568055555559</v>
      </c>
      <c r="J987" s="102">
        <f t="shared" si="61"/>
        <v>3</v>
      </c>
      <c r="K987" s="103">
        <f t="shared" si="62"/>
        <v>2</v>
      </c>
      <c r="L987" s="83">
        <f t="shared" si="63"/>
        <v>13</v>
      </c>
    </row>
    <row r="988" spans="1:12" x14ac:dyDescent="0.25">
      <c r="A988" s="105">
        <v>44987.756249999999</v>
      </c>
      <c r="B988" s="107" t="s">
        <v>1593</v>
      </c>
      <c r="C988" s="99" t="s">
        <v>1564</v>
      </c>
      <c r="D988" s="99" t="s">
        <v>1565</v>
      </c>
      <c r="E988" s="93">
        <v>126</v>
      </c>
      <c r="F988" s="94" t="s">
        <v>1543</v>
      </c>
      <c r="G988" s="95" t="s">
        <v>518</v>
      </c>
      <c r="H988" s="94">
        <v>104729282</v>
      </c>
      <c r="I988" s="101">
        <f t="shared" si="60"/>
        <v>44987.756249999999</v>
      </c>
      <c r="J988" s="102">
        <f t="shared" si="61"/>
        <v>3</v>
      </c>
      <c r="K988" s="103">
        <f t="shared" si="62"/>
        <v>2</v>
      </c>
      <c r="L988" s="83">
        <f t="shared" si="63"/>
        <v>18</v>
      </c>
    </row>
    <row r="989" spans="1:12" x14ac:dyDescent="0.25">
      <c r="A989" s="105">
        <v>44987.775000000001</v>
      </c>
      <c r="B989" s="107" t="s">
        <v>1594</v>
      </c>
      <c r="C989" s="99" t="s">
        <v>1548</v>
      </c>
      <c r="D989" s="99" t="s">
        <v>1549</v>
      </c>
      <c r="E989" s="93">
        <v>80.84</v>
      </c>
      <c r="F989" s="94" t="s">
        <v>1543</v>
      </c>
      <c r="G989" s="95" t="s">
        <v>520</v>
      </c>
      <c r="H989" s="94">
        <v>105624641</v>
      </c>
      <c r="I989" s="101">
        <f t="shared" si="60"/>
        <v>44987.775000000001</v>
      </c>
      <c r="J989" s="102">
        <f t="shared" si="61"/>
        <v>3</v>
      </c>
      <c r="K989" s="103">
        <f t="shared" si="62"/>
        <v>2</v>
      </c>
      <c r="L989" s="83">
        <f t="shared" si="63"/>
        <v>18</v>
      </c>
    </row>
    <row r="990" spans="1:12" x14ac:dyDescent="0.25">
      <c r="A990" s="105">
        <v>44987.675000000003</v>
      </c>
      <c r="B990" s="107" t="s">
        <v>1595</v>
      </c>
      <c r="C990" s="99" t="s">
        <v>1550</v>
      </c>
      <c r="D990" s="99" t="s">
        <v>1551</v>
      </c>
      <c r="E990" s="93">
        <v>130</v>
      </c>
      <c r="F990" s="94" t="s">
        <v>1543</v>
      </c>
      <c r="G990" s="95" t="s">
        <v>522</v>
      </c>
      <c r="H990" s="94">
        <v>102453204</v>
      </c>
      <c r="I990" s="101">
        <f t="shared" si="60"/>
        <v>44987.675000000003</v>
      </c>
      <c r="J990" s="102">
        <f t="shared" si="61"/>
        <v>3</v>
      </c>
      <c r="K990" s="103">
        <f t="shared" si="62"/>
        <v>2</v>
      </c>
      <c r="L990" s="83">
        <f t="shared" si="63"/>
        <v>16</v>
      </c>
    </row>
    <row r="991" spans="1:12" ht="15.75" thickBot="1" x14ac:dyDescent="0.3">
      <c r="A991" s="106">
        <v>44987.508333333331</v>
      </c>
      <c r="B991" s="108" t="s">
        <v>1597</v>
      </c>
      <c r="C991" s="100" t="s">
        <v>1562</v>
      </c>
      <c r="D991" s="100" t="s">
        <v>1563</v>
      </c>
      <c r="E991" s="96">
        <v>421</v>
      </c>
      <c r="F991" s="97" t="s">
        <v>1543</v>
      </c>
      <c r="G991" s="98" t="s">
        <v>525</v>
      </c>
      <c r="H991" s="97">
        <v>104193076</v>
      </c>
      <c r="I991" s="109">
        <f t="shared" si="60"/>
        <v>44987.508333333331</v>
      </c>
      <c r="J991" s="110">
        <f t="shared" si="61"/>
        <v>3</v>
      </c>
      <c r="K991" s="111">
        <f t="shared" si="62"/>
        <v>2</v>
      </c>
      <c r="L991" s="85">
        <f t="shared" si="63"/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7</vt:i4>
      </vt:variant>
    </vt:vector>
  </HeadingPairs>
  <TitlesOfParts>
    <vt:vector size="14" baseType="lpstr">
      <vt:lpstr>Synthése</vt:lpstr>
      <vt:lpstr>Base</vt:lpstr>
      <vt:lpstr>Categorie</vt:lpstr>
      <vt:lpstr>BD</vt:lpstr>
      <vt:lpstr>Effectifs</vt:lpstr>
      <vt:lpstr>Users</vt:lpstr>
      <vt:lpstr>Recolt</vt:lpstr>
      <vt:lpstr>Bris_de_Glaces</vt:lpstr>
      <vt:lpstr>Déclaration</vt:lpstr>
      <vt:lpstr>Gestion</vt:lpstr>
      <vt:lpstr>Missionnement</vt:lpstr>
      <vt:lpstr>Outils</vt:lpstr>
      <vt:lpstr>Prestataire</vt:lpstr>
      <vt:lpstr>Réglement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Yassine Daoui</cp:lastModifiedBy>
  <dcterms:created xsi:type="dcterms:W3CDTF">2019-04-22T20:13:31Z</dcterms:created>
  <dcterms:modified xsi:type="dcterms:W3CDTF">2025-02-23T12:08:17Z</dcterms:modified>
</cp:coreProperties>
</file>